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24226"/>
  <mc:AlternateContent xmlns:mc="http://schemas.openxmlformats.org/markup-compatibility/2006">
    <mc:Choice Requires="x15">
      <x15ac:absPath xmlns:x15ac="http://schemas.microsoft.com/office/spreadsheetml/2010/11/ac" url="https://d.docs.live.net/41139345319bbd04/Desktop/"/>
    </mc:Choice>
  </mc:AlternateContent>
  <xr:revisionPtr revIDLastSave="1" documentId="13_ncr:1_{9576CB6C-6427-4A60-AC39-F8256B0577C3}" xr6:coauthVersionLast="45" xr6:coauthVersionMax="45" xr10:uidLastSave="{702B07CE-CCA9-4F1F-B133-DF3B2D9166AC}"/>
  <bookViews>
    <workbookView xWindow="-120" yWindow="-120" windowWidth="20730" windowHeight="11760" xr2:uid="{00000000-000D-0000-FFFF-FFFF00000000}"/>
  </bookViews>
  <sheets>
    <sheet name="Master_Data" sheetId="1" r:id="rId1"/>
    <sheet name="Airline_Booking" sheetId="5" r:id="rId2"/>
    <sheet name="Pivot_Table" sheetId="6" r:id="rId3"/>
  </sheets>
  <definedNames>
    <definedName name="Slicer_TANGGAL_BERANGKAT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 i="5" l="1"/>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3"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3" i="5"/>
  <c r="D4" i="5"/>
  <c r="O4" i="5" s="1"/>
  <c r="D5" i="5"/>
  <c r="O5" i="5" s="1"/>
  <c r="D6" i="5"/>
  <c r="O6" i="5" s="1"/>
  <c r="D7" i="5"/>
  <c r="O7" i="5" s="1"/>
  <c r="D8" i="5"/>
  <c r="O8" i="5" s="1"/>
  <c r="D9" i="5"/>
  <c r="O9" i="5" s="1"/>
  <c r="D10" i="5"/>
  <c r="O10" i="5" s="1"/>
  <c r="D11" i="5"/>
  <c r="O11" i="5" s="1"/>
  <c r="D12" i="5"/>
  <c r="O12" i="5" s="1"/>
  <c r="D13" i="5"/>
  <c r="O13" i="5" s="1"/>
  <c r="D14" i="5"/>
  <c r="O14" i="5" s="1"/>
  <c r="D15" i="5"/>
  <c r="O15" i="5" s="1"/>
  <c r="D16" i="5"/>
  <c r="O16" i="5" s="1"/>
  <c r="D17" i="5"/>
  <c r="O17" i="5" s="1"/>
  <c r="D18" i="5"/>
  <c r="O18" i="5" s="1"/>
  <c r="D19" i="5"/>
  <c r="O19" i="5" s="1"/>
  <c r="D20" i="5"/>
  <c r="O20" i="5" s="1"/>
  <c r="D21" i="5"/>
  <c r="O21" i="5" s="1"/>
  <c r="D22" i="5"/>
  <c r="O22" i="5" s="1"/>
  <c r="D23" i="5"/>
  <c r="O23" i="5" s="1"/>
  <c r="D24" i="5"/>
  <c r="O24" i="5" s="1"/>
  <c r="D25" i="5"/>
  <c r="O25" i="5" s="1"/>
  <c r="D26" i="5"/>
  <c r="O26" i="5" s="1"/>
  <c r="D27" i="5"/>
  <c r="O27" i="5" s="1"/>
  <c r="D28" i="5"/>
  <c r="O28" i="5" s="1"/>
  <c r="D29" i="5"/>
  <c r="O29" i="5" s="1"/>
  <c r="D30" i="5"/>
  <c r="O30" i="5" s="1"/>
  <c r="D31" i="5"/>
  <c r="O31" i="5" s="1"/>
  <c r="D32" i="5"/>
  <c r="O32" i="5" s="1"/>
  <c r="D33" i="5"/>
  <c r="O33" i="5" s="1"/>
  <c r="D34" i="5"/>
  <c r="O34" i="5" s="1"/>
  <c r="D35" i="5"/>
  <c r="O35" i="5" s="1"/>
  <c r="D36" i="5"/>
  <c r="O36" i="5" s="1"/>
  <c r="D37" i="5"/>
  <c r="O37" i="5" s="1"/>
  <c r="D38" i="5"/>
  <c r="O38" i="5" s="1"/>
  <c r="D39" i="5"/>
  <c r="O39" i="5" s="1"/>
  <c r="D40" i="5"/>
  <c r="O40" i="5" s="1"/>
  <c r="D41" i="5"/>
  <c r="O41" i="5" s="1"/>
  <c r="D42" i="5"/>
  <c r="O42" i="5" s="1"/>
  <c r="D3" i="5"/>
  <c r="O3" i="5" s="1"/>
  <c r="K3" i="5" l="1"/>
  <c r="L3" i="5" s="1"/>
  <c r="K41" i="5"/>
  <c r="L41" i="5" s="1"/>
  <c r="K39" i="5"/>
  <c r="L39" i="5" s="1"/>
  <c r="K37" i="5"/>
  <c r="L37" i="5" s="1"/>
  <c r="K35" i="5"/>
  <c r="L35" i="5" s="1"/>
  <c r="K33" i="5"/>
  <c r="L33" i="5" s="1"/>
  <c r="K31" i="5"/>
  <c r="L31" i="5" s="1"/>
  <c r="K29" i="5"/>
  <c r="L29" i="5" s="1"/>
  <c r="K27" i="5"/>
  <c r="L27" i="5" s="1"/>
  <c r="K25" i="5"/>
  <c r="L25" i="5" s="1"/>
  <c r="K23" i="5"/>
  <c r="L23" i="5" s="1"/>
  <c r="K21" i="5"/>
  <c r="L21" i="5" s="1"/>
  <c r="K19" i="5"/>
  <c r="L19" i="5" s="1"/>
  <c r="K17" i="5"/>
  <c r="L17" i="5" s="1"/>
  <c r="K15" i="5"/>
  <c r="L15" i="5" s="1"/>
  <c r="K13" i="5"/>
  <c r="L13" i="5" s="1"/>
  <c r="K11" i="5"/>
  <c r="L11" i="5" s="1"/>
  <c r="K9" i="5"/>
  <c r="L9" i="5" s="1"/>
  <c r="K7" i="5"/>
  <c r="L7" i="5" s="1"/>
  <c r="K5" i="5"/>
  <c r="L5" i="5" s="1"/>
  <c r="K42" i="5"/>
  <c r="L42" i="5" s="1"/>
  <c r="K40" i="5"/>
  <c r="L40" i="5" s="1"/>
  <c r="K38" i="5"/>
  <c r="L38" i="5" s="1"/>
  <c r="K36" i="5"/>
  <c r="L36" i="5" s="1"/>
  <c r="K34" i="5"/>
  <c r="L34" i="5" s="1"/>
  <c r="K32" i="5"/>
  <c r="L32" i="5" s="1"/>
  <c r="K30" i="5"/>
  <c r="L30" i="5" s="1"/>
  <c r="K28" i="5"/>
  <c r="L28" i="5" s="1"/>
  <c r="K26" i="5"/>
  <c r="L26" i="5" s="1"/>
  <c r="K24" i="5"/>
  <c r="L24" i="5" s="1"/>
  <c r="K22" i="5"/>
  <c r="L22" i="5" s="1"/>
  <c r="K20" i="5"/>
  <c r="L20" i="5" s="1"/>
  <c r="K18" i="5"/>
  <c r="L18" i="5" s="1"/>
  <c r="K16" i="5"/>
  <c r="L16" i="5" s="1"/>
  <c r="K14" i="5"/>
  <c r="L14" i="5" s="1"/>
  <c r="K12" i="5"/>
  <c r="L12" i="5" s="1"/>
  <c r="K10" i="5"/>
  <c r="L10" i="5" s="1"/>
  <c r="K8" i="5"/>
  <c r="L8" i="5" s="1"/>
  <c r="K6" i="5"/>
  <c r="L6" i="5" s="1"/>
  <c r="K4" i="5"/>
  <c r="L4" i="5" s="1"/>
</calcChain>
</file>

<file path=xl/sharedStrings.xml><?xml version="1.0" encoding="utf-8"?>
<sst xmlns="http://schemas.openxmlformats.org/spreadsheetml/2006/main" count="218" uniqueCount="180">
  <si>
    <t>NO</t>
  </si>
  <si>
    <t>KODE PENERBANGAN</t>
  </si>
  <si>
    <t>MASKAPAI</t>
  </si>
  <si>
    <t>ASAL</t>
  </si>
  <si>
    <t>TUJUAN</t>
  </si>
  <si>
    <t>TANGGAL BERANGKAT</t>
  </si>
  <si>
    <t>JAM BERANGKAT</t>
  </si>
  <si>
    <t>KEDATANGAN</t>
  </si>
  <si>
    <t>HARGA TIKET</t>
  </si>
  <si>
    <t>NAMA PENUMPANG</t>
  </si>
  <si>
    <t>KELAS</t>
  </si>
  <si>
    <t>GATE</t>
  </si>
  <si>
    <t>SEAT</t>
  </si>
  <si>
    <t>LOKA WIRANTA</t>
  </si>
  <si>
    <t>HANA LIN</t>
  </si>
  <si>
    <t>SANITA VELORA</t>
  </si>
  <si>
    <t>VANYA RUSELINA</t>
  </si>
  <si>
    <t>REZA TARMOKO</t>
  </si>
  <si>
    <t>DARGO MAWESTA</t>
  </si>
  <si>
    <t>TISYA AVENDRA</t>
  </si>
  <si>
    <t>KARYO LIMANTARA</t>
  </si>
  <si>
    <t>JEFRO MALANTARA</t>
  </si>
  <si>
    <t>BINAR KENDARTA</t>
  </si>
  <si>
    <t>CHIKA YURESTA</t>
  </si>
  <si>
    <t>MEI ZHANG</t>
  </si>
  <si>
    <t>LIU SHISHI</t>
  </si>
  <si>
    <t>ZHANG ROUNAN</t>
  </si>
  <si>
    <t>SONG ZUER</t>
  </si>
  <si>
    <t>VARO GHANTIRA</t>
  </si>
  <si>
    <t>ZHANG YUNLONG</t>
  </si>
  <si>
    <t>BAI JINTING</t>
  </si>
  <si>
    <t>LIU YUNING</t>
  </si>
  <si>
    <t>SELVI MAHARENTIYA</t>
  </si>
  <si>
    <t>ETHAN CHALLISTER</t>
  </si>
  <si>
    <t>DENO ABHYAKA</t>
  </si>
  <si>
    <t>LINDA SERWASTI</t>
  </si>
  <si>
    <t>CALVIN TRASMOKO</t>
  </si>
  <si>
    <t>YAVITA ORLENZA</t>
  </si>
  <si>
    <t>GALAN MERDANA</t>
  </si>
  <si>
    <t>SYIFA ANTAVERA</t>
  </si>
  <si>
    <t>NIRA ZALINDRA</t>
  </si>
  <si>
    <t>LIAM HARGROVE</t>
  </si>
  <si>
    <t>YICHEN LUO</t>
  </si>
  <si>
    <t>CHENG XIAO</t>
  </si>
  <si>
    <t>XU KAI</t>
  </si>
  <si>
    <t>SONG WEI LONG</t>
  </si>
  <si>
    <t>NANO MURWANTO</t>
  </si>
  <si>
    <t>KAKA KIKI</t>
  </si>
  <si>
    <t>SARI PATI INDAH</t>
  </si>
  <si>
    <t>DUMANDO</t>
  </si>
  <si>
    <t>CICI MEILI</t>
  </si>
  <si>
    <t>TIA RAY</t>
  </si>
  <si>
    <t>RAVIE WARDANA</t>
  </si>
  <si>
    <t xml:space="preserve"> </t>
  </si>
  <si>
    <t>Cakrawala Air</t>
  </si>
  <si>
    <t>Aero Citra Air</t>
  </si>
  <si>
    <t>Mega Nusantara Air</t>
  </si>
  <si>
    <t>Satu Angkasa Air</t>
  </si>
  <si>
    <t>Sky Nusantara Air</t>
  </si>
  <si>
    <t>Ekonomi</t>
  </si>
  <si>
    <t>Bisnis</t>
  </si>
  <si>
    <t>TIPE MASKAPAI</t>
  </si>
  <si>
    <t>Full-Service</t>
  </si>
  <si>
    <t>LCC</t>
  </si>
  <si>
    <t>Regional/Charter</t>
  </si>
  <si>
    <t>Jakarta</t>
  </si>
  <si>
    <t>Surabaya</t>
  </si>
  <si>
    <t>Bali</t>
  </si>
  <si>
    <t>Yogyakarta</t>
  </si>
  <si>
    <t>Makassar</t>
  </si>
  <si>
    <t>Kupang</t>
  </si>
  <si>
    <t>Maumere</t>
  </si>
  <si>
    <t>Medan</t>
  </si>
  <si>
    <t>Aceh</t>
  </si>
  <si>
    <t>21A</t>
  </si>
  <si>
    <t>19B</t>
  </si>
  <si>
    <t>14B</t>
  </si>
  <si>
    <t>7A</t>
  </si>
  <si>
    <t>30E</t>
  </si>
  <si>
    <t>20F</t>
  </si>
  <si>
    <t>26A</t>
  </si>
  <si>
    <t>22B</t>
  </si>
  <si>
    <t>30F</t>
  </si>
  <si>
    <t>28B</t>
  </si>
  <si>
    <t>17A</t>
  </si>
  <si>
    <t>15D</t>
  </si>
  <si>
    <t>9E</t>
  </si>
  <si>
    <t>15E</t>
  </si>
  <si>
    <t>24B</t>
  </si>
  <si>
    <t>15A</t>
  </si>
  <si>
    <t>16F</t>
  </si>
  <si>
    <t>22F</t>
  </si>
  <si>
    <t>28A</t>
  </si>
  <si>
    <t>27E</t>
  </si>
  <si>
    <t>8F</t>
  </si>
  <si>
    <t>21D</t>
  </si>
  <si>
    <t>23C</t>
  </si>
  <si>
    <t>5B</t>
  </si>
  <si>
    <t>18B</t>
  </si>
  <si>
    <t>5C</t>
  </si>
  <si>
    <t>13C</t>
  </si>
  <si>
    <t>16A</t>
  </si>
  <si>
    <t>18E</t>
  </si>
  <si>
    <t>29D</t>
  </si>
  <si>
    <t>8A</t>
  </si>
  <si>
    <t>2F</t>
  </si>
  <si>
    <t>17E</t>
  </si>
  <si>
    <t>Premium Ekonomi</t>
  </si>
  <si>
    <t>SNA/F/EK-10/06/2025-JKT-SBY/B5</t>
  </si>
  <si>
    <t>MNA/F/EK-11/06/2025-JKT-BLI/A3</t>
  </si>
  <si>
    <t>CWA/L/BN-14/06/2025-YGY-MKS/B2</t>
  </si>
  <si>
    <t>MNA/F-BN-12/06/2025-JKT-BLI/B5</t>
  </si>
  <si>
    <t>SAA/L/BN-15/06/2025-MDN-ACH/A3</t>
  </si>
  <si>
    <t>ACA/R/BN-17/06/2025-KPG-MME/C1</t>
  </si>
  <si>
    <t>CWA/L/BN-18/06/2025-YGY-MKS/B2</t>
  </si>
  <si>
    <t>SNA/F/EK-18/06/2025-JKT-SBY/A5</t>
  </si>
  <si>
    <t>SAA/L/EK-19/06/2025-MDN-ACH/A3</t>
  </si>
  <si>
    <t>CWA/L/BN-20/06/2025-YGY-MKS/B2</t>
  </si>
  <si>
    <t>CWA/L/BN-21/06/2025-YGY-MKS/B2</t>
  </si>
  <si>
    <t>SAA/L/PE-24/06/2025-MDN-ACH/A3</t>
  </si>
  <si>
    <t>ACA/R/PE-25/06/2025-KPG-MME/C1</t>
  </si>
  <si>
    <t>SAA/L/EK-26/06/2025-MDN-ACH/A3</t>
  </si>
  <si>
    <t>ACA/R/PE-26/06/2025-KPG-MME/C1</t>
  </si>
  <si>
    <t>MNA/F/BN-26/06/2025-JKT-BLI/B5</t>
  </si>
  <si>
    <t>MNA/F/EK-29/06/2025-JKT-BLI/B5</t>
  </si>
  <si>
    <t>SAA/L/PE-27/06/2025-MDN-ACH/C3</t>
  </si>
  <si>
    <t>ACA/R/BN-29/06/2025-KPG-MME/C1</t>
  </si>
  <si>
    <t>SAA/L/EK-30/06/2025-MDN-ACH/A3</t>
  </si>
  <si>
    <t>EKONOMI</t>
  </si>
  <si>
    <t>BISNIS</t>
  </si>
  <si>
    <t>PREMIUM EKONOMI</t>
  </si>
  <si>
    <t>RUTE</t>
  </si>
  <si>
    <t>MDN-ACH</t>
  </si>
  <si>
    <t>KPG-MME</t>
  </si>
  <si>
    <t>JKT-SBY</t>
  </si>
  <si>
    <t>YGY-MKS</t>
  </si>
  <si>
    <t>JKT-BLI</t>
  </si>
  <si>
    <t>KODE</t>
  </si>
  <si>
    <t>SAA/L</t>
  </si>
  <si>
    <t>ACA/R</t>
  </si>
  <si>
    <t>SNA/F</t>
  </si>
  <si>
    <t>CWA/L</t>
  </si>
  <si>
    <t>MNA/F</t>
  </si>
  <si>
    <t>KOTA</t>
  </si>
  <si>
    <t>MDN</t>
  </si>
  <si>
    <t>KPG</t>
  </si>
  <si>
    <t>JKT</t>
  </si>
  <si>
    <t>YGY</t>
  </si>
  <si>
    <t>ACH</t>
  </si>
  <si>
    <t>MME</t>
  </si>
  <si>
    <t>SBY</t>
  </si>
  <si>
    <t>MKS</t>
  </si>
  <si>
    <t>BLI</t>
  </si>
  <si>
    <t>ESTIMASI</t>
  </si>
  <si>
    <t>Grand Total</t>
  </si>
  <si>
    <t>Count of NAMA PENUMPANG</t>
  </si>
  <si>
    <t>SAA/L/BN-25/05/2025-MDN-ACH/A3</t>
  </si>
  <si>
    <t>SAA/L/PE-25/05/2025-MDN-ACH/A3</t>
  </si>
  <si>
    <t>ACA/R/PE-26/05/2025-KPG-MME/C1</t>
  </si>
  <si>
    <t>SNA/F/EK-27/05/2025-JKT-SBY/A5</t>
  </si>
  <si>
    <t>CWA/L/BN-28/05/2025-YGY-MKS-B2</t>
  </si>
  <si>
    <t>MNA/F/EK-29/05/2025-JKT-BLI-B5</t>
  </si>
  <si>
    <t>MNA/F/EK/30/05/2025-JKT-BLI-B5</t>
  </si>
  <si>
    <t>ACA/R/PE-30/05/2025-KPG-MME/C1</t>
  </si>
  <si>
    <t>ACA/R/EK-31/05/2025-KPG-MME/C1</t>
  </si>
  <si>
    <t>MNA/F/PE-31/05/2025-JKT-BLI/B5</t>
  </si>
  <si>
    <t>SNA/F/EK-31/05/2025-JKT-SBY/A3</t>
  </si>
  <si>
    <t>SAA/L/EK-01/06/2025-MDN-ACH/A5</t>
  </si>
  <si>
    <t>SNA/F/EK-05/06/2025-JKT-SBY/B2</t>
  </si>
  <si>
    <t>CWA/L/BN-07/06/2025-YGY-MKS/C1</t>
  </si>
  <si>
    <t>ACA/R/PE-07/06/2025-KPG-MME/A5</t>
  </si>
  <si>
    <t>SAA/L-EK-12/06/2025-MDN-ACH/A5</t>
  </si>
  <si>
    <t>SNA/F-EK-13/06/2025-JKT-SBY/B5</t>
  </si>
  <si>
    <t>SAA/L/PE-15/06/2025-MDN-ACH/A3</t>
  </si>
  <si>
    <t>Sum of HARGA TIKET</t>
  </si>
  <si>
    <t>BANDARA PREFEKTUR KA-YU</t>
  </si>
  <si>
    <t>Komplek Weizhong, Blok Qian-309</t>
  </si>
  <si>
    <t>Jl. Weiqian KM 101, Kec. Kangyuan</t>
  </si>
  <si>
    <t>Kota Liusong, Prov. Zuyu 30198</t>
  </si>
  <si>
    <t>DURASI (JAM)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</si>
</sst>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p&quot;* #,##0_-;\-&quot;Rp&quot;* #,##0_-;_-&quot;Rp&quot;* &quot;-&quot;_-;_-@_-"/>
    <numFmt numFmtId="164" formatCode="[$-421]dddd\,\ dd\ mmmm\ yyyy;@"/>
    <numFmt numFmtId="165" formatCode="h:mm:ss;@"/>
    <numFmt numFmtId="166" formatCode="[$-421]dddd\,\ dd\ mmmm\ yyyy\ \ \ \ \ hh:mm"/>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font>
    <font>
      <i/>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2" fontId="1" fillId="0" borderId="0" applyFont="0" applyFill="0" applyBorder="0" applyAlignment="0" applyProtection="0"/>
  </cellStyleXfs>
  <cellXfs count="42">
    <xf numFmtId="0" fontId="0" fillId="0" borderId="0" xfId="0"/>
    <xf numFmtId="0" fontId="4" fillId="2" borderId="1" xfId="0" applyFont="1" applyFill="1" applyBorder="1"/>
    <xf numFmtId="0" fontId="0" fillId="0" borderId="0" xfId="0" applyBorder="1"/>
    <xf numFmtId="0" fontId="0" fillId="0" borderId="1" xfId="0" applyBorder="1"/>
    <xf numFmtId="0" fontId="0" fillId="2" borderId="1" xfId="0" applyFill="1" applyBorder="1"/>
    <xf numFmtId="0" fontId="0" fillId="0" borderId="0" xfId="0" applyNumberFormat="1"/>
    <xf numFmtId="0" fontId="0" fillId="2" borderId="1" xfId="0" applyFill="1" applyBorder="1" applyAlignment="1">
      <alignment horizontal="center"/>
    </xf>
    <xf numFmtId="0" fontId="2" fillId="3" borderId="2" xfId="0" applyFont="1" applyFill="1" applyBorder="1" applyAlignment="1">
      <alignment horizontal="center" vertical="center"/>
    </xf>
    <xf numFmtId="0" fontId="3" fillId="0" borderId="0" xfId="0" applyFont="1"/>
    <xf numFmtId="0" fontId="3" fillId="0" borderId="0" xfId="0" applyFont="1" applyAlignment="1"/>
    <xf numFmtId="42" fontId="0" fillId="0" borderId="1" xfId="1" applyFont="1" applyBorder="1"/>
    <xf numFmtId="0" fontId="3" fillId="4" borderId="1" xfId="0" applyFont="1" applyFill="1" applyBorder="1" applyAlignment="1">
      <alignment horizontal="center"/>
    </xf>
    <xf numFmtId="0" fontId="0" fillId="3" borderId="1" xfId="0" applyFill="1" applyBorder="1" applyAlignment="1">
      <alignment horizontal="center"/>
    </xf>
    <xf numFmtId="0" fontId="0" fillId="0" borderId="1" xfId="0" applyNumberFormat="1" applyFill="1" applyBorder="1"/>
    <xf numFmtId="164" fontId="0" fillId="0" borderId="1" xfId="0" applyNumberFormat="1" applyFill="1" applyBorder="1"/>
    <xf numFmtId="165" fontId="0" fillId="2" borderId="1" xfId="0" applyNumberFormat="1" applyFill="1" applyBorder="1"/>
    <xf numFmtId="166" fontId="0" fillId="0" borderId="1" xfId="0" applyNumberFormat="1" applyBorder="1"/>
    <xf numFmtId="0" fontId="5" fillId="0" borderId="0" xfId="0" applyFont="1"/>
    <xf numFmtId="0" fontId="0" fillId="0" borderId="0" xfId="0" pivotButton="1"/>
    <xf numFmtId="0" fontId="0" fillId="0" borderId="1" xfId="0" applyNumberFormat="1" applyBorder="1"/>
    <xf numFmtId="1" fontId="0" fillId="0" borderId="1" xfId="0" applyNumberFormat="1" applyBorder="1" applyAlignment="1">
      <alignment horizontal="center"/>
    </xf>
    <xf numFmtId="0" fontId="0" fillId="0" borderId="1" xfId="0" applyBorder="1" applyAlignment="1">
      <alignment horizontal="center"/>
    </xf>
    <xf numFmtId="0" fontId="5" fillId="0" borderId="3" xfId="0" applyFont="1" applyBorder="1" applyAlignment="1"/>
    <xf numFmtId="0" fontId="5" fillId="0" borderId="0" xfId="0" applyFont="1" applyBorder="1" applyAlignment="1"/>
    <xf numFmtId="0" fontId="5" fillId="0" borderId="4" xfId="0" applyFont="1" applyBorder="1" applyAlignment="1"/>
    <xf numFmtId="0" fontId="0" fillId="0" borderId="3" xfId="0" applyBorder="1"/>
    <xf numFmtId="0" fontId="0" fillId="0" borderId="4" xfId="0" applyBorder="1"/>
    <xf numFmtId="17" fontId="0" fillId="0" borderId="0" xfId="0" applyNumberFormat="1" applyBorder="1"/>
    <xf numFmtId="0" fontId="0" fillId="0" borderId="11" xfId="0" applyBorder="1"/>
    <xf numFmtId="0" fontId="0" fillId="0" borderId="12" xfId="0" applyBorder="1"/>
    <xf numFmtId="42" fontId="0" fillId="0" borderId="0" xfId="0" applyNumberFormat="1"/>
    <xf numFmtId="0" fontId="0" fillId="0" borderId="0" xfId="0" applyAlignment="1">
      <alignment horizontal="center"/>
    </xf>
    <xf numFmtId="0" fontId="6" fillId="0" borderId="9" xfId="0" applyFont="1" applyBorder="1" applyAlignment="1">
      <alignment horizontal="center"/>
    </xf>
    <xf numFmtId="0" fontId="6" fillId="0" borderId="8" xfId="0" applyFont="1" applyBorder="1" applyAlignment="1">
      <alignment horizontal="center"/>
    </xf>
    <xf numFmtId="0" fontId="6" fillId="0" borderId="10" xfId="0" applyFont="1" applyBorder="1" applyAlignment="1">
      <alignment horizontal="center"/>
    </xf>
    <xf numFmtId="0" fontId="5" fillId="0" borderId="3" xfId="0" applyFont="1" applyBorder="1" applyAlignment="1">
      <alignment horizontal="center"/>
    </xf>
    <xf numFmtId="0" fontId="5" fillId="0" borderId="0"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3" fillId="4" borderId="1" xfId="0" applyFont="1" applyFill="1" applyBorder="1" applyAlignment="1">
      <alignment horizontal="center"/>
    </xf>
  </cellXfs>
  <cellStyles count="2">
    <cellStyle name="Currency [0]" xfId="1" builtinId="7"/>
    <cellStyle name="Normal" xfId="0" builtinId="0"/>
  </cellStyles>
  <dxfs count="1">
    <dxf>
      <numFmt numFmtId="32" formatCode="_-&quot;Rp&quot;* #,##0_-;\-&quot;Rp&quot;* #,##0_-;_-&quot;Rp&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Booking Management System.xlsx]Pivot_Table!PivotTable1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Jumlah Penumpang per Maskapai dan Tipe Maskapai</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Pivot_Table!$C$5</c:f>
              <c:strCache>
                <c:ptCount val="1"/>
                <c:pt idx="0">
                  <c:v>Total</c:v>
                </c:pt>
              </c:strCache>
            </c:strRef>
          </c:tx>
          <c:spPr>
            <a:solidFill>
              <a:schemeClr val="tx2"/>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Pivot_Table!$A$6:$B$17</c:f>
              <c:multiLvlStrCache>
                <c:ptCount val="11"/>
                <c:lvl>
                  <c:pt idx="0">
                    <c:v>Bisnis</c:v>
                  </c:pt>
                  <c:pt idx="1">
                    <c:v>Ekonomi</c:v>
                  </c:pt>
                  <c:pt idx="2">
                    <c:v>Premium Ekonomi</c:v>
                  </c:pt>
                  <c:pt idx="3">
                    <c:v>Bisnis</c:v>
                  </c:pt>
                  <c:pt idx="4">
                    <c:v>Bisnis</c:v>
                  </c:pt>
                  <c:pt idx="5">
                    <c:v>Ekonomi</c:v>
                  </c:pt>
                  <c:pt idx="6">
                    <c:v>Premium Ekonomi</c:v>
                  </c:pt>
                  <c:pt idx="7">
                    <c:v>Bisnis</c:v>
                  </c:pt>
                  <c:pt idx="8">
                    <c:v>Ekonomi</c:v>
                  </c:pt>
                  <c:pt idx="9">
                    <c:v>Premium Ekonomi</c:v>
                  </c:pt>
                  <c:pt idx="10">
                    <c:v>Ekonomi</c:v>
                  </c:pt>
                </c:lvl>
                <c:lvl>
                  <c:pt idx="0">
                    <c:v>Aero Citra Air</c:v>
                  </c:pt>
                  <c:pt idx="3">
                    <c:v>Cakrawala Air</c:v>
                  </c:pt>
                  <c:pt idx="4">
                    <c:v>Mega Nusantara Air</c:v>
                  </c:pt>
                  <c:pt idx="7">
                    <c:v>Satu Angkasa Air</c:v>
                  </c:pt>
                  <c:pt idx="10">
                    <c:v>Sky Nusantara Air</c:v>
                  </c:pt>
                </c:lvl>
              </c:multiLvlStrCache>
            </c:multiLvlStrRef>
          </c:cat>
          <c:val>
            <c:numRef>
              <c:f>Pivot_Table!$C$6:$C$17</c:f>
              <c:numCache>
                <c:formatCode>General</c:formatCode>
                <c:ptCount val="11"/>
                <c:pt idx="0">
                  <c:v>2</c:v>
                </c:pt>
                <c:pt idx="1">
                  <c:v>1</c:v>
                </c:pt>
                <c:pt idx="2">
                  <c:v>6</c:v>
                </c:pt>
                <c:pt idx="3">
                  <c:v>6</c:v>
                </c:pt>
                <c:pt idx="4">
                  <c:v>2</c:v>
                </c:pt>
                <c:pt idx="5">
                  <c:v>4</c:v>
                </c:pt>
                <c:pt idx="6">
                  <c:v>1</c:v>
                </c:pt>
                <c:pt idx="7">
                  <c:v>2</c:v>
                </c:pt>
                <c:pt idx="8">
                  <c:v>5</c:v>
                </c:pt>
                <c:pt idx="9">
                  <c:v>4</c:v>
                </c:pt>
                <c:pt idx="10">
                  <c:v>7</c:v>
                </c:pt>
              </c:numCache>
            </c:numRef>
          </c:val>
          <c:extLst>
            <c:ext xmlns:c16="http://schemas.microsoft.com/office/drawing/2014/chart" uri="{C3380CC4-5D6E-409C-BE32-E72D297353CC}">
              <c16:uniqueId val="{00000000-B7B2-4EEA-99E3-F8D57957D6F6}"/>
            </c:ext>
          </c:extLst>
        </c:ser>
        <c:dLbls>
          <c:dLblPos val="outEnd"/>
          <c:showLegendKey val="0"/>
          <c:showVal val="1"/>
          <c:showCatName val="0"/>
          <c:showSerName val="0"/>
          <c:showPercent val="0"/>
          <c:showBubbleSize val="0"/>
        </c:dLbls>
        <c:gapWidth val="88"/>
        <c:axId val="1098624208"/>
        <c:axId val="1594378896"/>
      </c:barChart>
      <c:catAx>
        <c:axId val="1098624208"/>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t>Maskapai dan Tipe Maskapai</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594378896"/>
        <c:crosses val="autoZero"/>
        <c:auto val="1"/>
        <c:lblAlgn val="ctr"/>
        <c:lblOffset val="100"/>
        <c:noMultiLvlLbl val="0"/>
      </c:catAx>
      <c:valAx>
        <c:axId val="1594378896"/>
        <c:scaling>
          <c:orientation val="minMax"/>
        </c:scaling>
        <c:delete val="0"/>
        <c:axPos val="b"/>
        <c:title>
          <c:tx>
            <c:rich>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r>
                  <a:rPr lang="en-ID" sz="1050" b="1"/>
                  <a:t>Jumlah</a:t>
                </a:r>
                <a:r>
                  <a:rPr lang="en-ID" sz="1050" b="1" baseline="0"/>
                  <a:t> Penumpang</a:t>
                </a:r>
              </a:p>
            </c:rich>
          </c:tx>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86242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 Booking Management System.xlsx]Pivot_Table!PivotTable2</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Proporsi Pendapatan per Maskapai</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hade val="53000"/>
            </a:schemeClr>
          </a:solidFill>
          <a:ln w="19050">
            <a:solidFill>
              <a:schemeClr val="lt1"/>
            </a:solidFill>
          </a:ln>
          <a:effectLst/>
        </c:spPr>
        <c:dLbl>
          <c:idx val="0"/>
          <c:layout>
            <c:manualLayout>
              <c:x val="2.1919230225504474E-2"/>
              <c:y val="4.2440394280333367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77000"/>
            </a:schemeClr>
          </a:solidFill>
          <a:ln w="19050">
            <a:solidFill>
              <a:schemeClr val="lt1"/>
            </a:solidFill>
          </a:ln>
          <a:effectLst/>
        </c:spPr>
      </c:pivotFmt>
      <c:pivotFmt>
        <c:idx val="5"/>
        <c:spPr>
          <a:solidFill>
            <a:schemeClr val="accent1">
              <a:tint val="54000"/>
            </a:schemeClr>
          </a:solidFill>
          <a:ln w="19050">
            <a:solidFill>
              <a:schemeClr val="lt1"/>
            </a:solidFill>
          </a:ln>
          <a:effectLst/>
        </c:spPr>
        <c:dLbl>
          <c:idx val="0"/>
          <c:layout>
            <c:manualLayout>
              <c:x val="5.9779718796830021E-3"/>
              <c:y val="6.0629134686190522E-2"/>
            </c:manualLayout>
          </c:layout>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Pivot_Table!$G$5</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4E93-4113-A02E-A6B1158B2C33}"/>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4E93-4113-A02E-A6B1158B2C3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4E93-4113-A02E-A6B1158B2C33}"/>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4E93-4113-A02E-A6B1158B2C33}"/>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4E93-4113-A02E-A6B1158B2C33}"/>
              </c:ext>
            </c:extLst>
          </c:dPt>
          <c:dLbls>
            <c:dLbl>
              <c:idx val="0"/>
              <c:layout>
                <c:manualLayout>
                  <c:x val="2.1919230225504474E-2"/>
                  <c:y val="4.244039428033336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E93-4113-A02E-A6B1158B2C33}"/>
                </c:ext>
              </c:extLst>
            </c:dLbl>
            <c:dLbl>
              <c:idx val="4"/>
              <c:layout>
                <c:manualLayout>
                  <c:x val="5.9779718796830021E-3"/>
                  <c:y val="6.0629134686190522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4E93-4113-A02E-A6B1158B2C33}"/>
                </c:ext>
              </c:extLst>
            </c:dLbl>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Pivot_Table!$F$6:$F$11</c:f>
              <c:strCache>
                <c:ptCount val="5"/>
                <c:pt idx="0">
                  <c:v>Aero Citra Air</c:v>
                </c:pt>
                <c:pt idx="1">
                  <c:v>Cakrawala Air</c:v>
                </c:pt>
                <c:pt idx="2">
                  <c:v>Mega Nusantara Air</c:v>
                </c:pt>
                <c:pt idx="3">
                  <c:v>Satu Angkasa Air</c:v>
                </c:pt>
                <c:pt idx="4">
                  <c:v>Sky Nusantara Air</c:v>
                </c:pt>
              </c:strCache>
            </c:strRef>
          </c:cat>
          <c:val>
            <c:numRef>
              <c:f>Pivot_Table!$G$6:$G$11</c:f>
              <c:numCache>
                <c:formatCode>_("Rp"* #,##0_);_("Rp"* \(#,##0\);_("Rp"* "-"_);_(@_)</c:formatCode>
                <c:ptCount val="5"/>
                <c:pt idx="0">
                  <c:v>9050000</c:v>
                </c:pt>
                <c:pt idx="1">
                  <c:v>12000000</c:v>
                </c:pt>
                <c:pt idx="2">
                  <c:v>13300000</c:v>
                </c:pt>
                <c:pt idx="3">
                  <c:v>7350000</c:v>
                </c:pt>
                <c:pt idx="4">
                  <c:v>8400000</c:v>
                </c:pt>
              </c:numCache>
            </c:numRef>
          </c:val>
          <c:extLst>
            <c:ext xmlns:c16="http://schemas.microsoft.com/office/drawing/2014/chart" uri="{C3380CC4-5D6E-409C-BE32-E72D297353CC}">
              <c16:uniqueId val="{00000000-834B-43FF-86FF-660D5A34DD0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1006482</xdr:colOff>
      <xdr:row>4</xdr:row>
      <xdr:rowOff>0</xdr:rowOff>
    </xdr:to>
    <mc:AlternateContent xmlns:mc="http://schemas.openxmlformats.org/markup-compatibility/2006" xmlns:a14="http://schemas.microsoft.com/office/drawing/2010/main">
      <mc:Choice Requires="a14">
        <xdr:graphicFrame macro="">
          <xdr:nvGraphicFramePr>
            <xdr:cNvPr id="4" name="TANGGAL BERANGKAT 1">
              <a:extLst>
                <a:ext uri="{FF2B5EF4-FFF2-40B4-BE49-F238E27FC236}">
                  <a16:creationId xmlns:a16="http://schemas.microsoft.com/office/drawing/2014/main" id="{BB21B1A6-39D0-43DD-A686-A1F4FDEF9A66}"/>
                </a:ext>
              </a:extLst>
            </xdr:cNvPr>
            <xdr:cNvGraphicFramePr/>
          </xdr:nvGraphicFramePr>
          <xdr:xfrm>
            <a:off x="0" y="0"/>
            <a:ext cx="0" cy="0"/>
          </xdr:xfrm>
          <a:graphic>
            <a:graphicData uri="http://schemas.microsoft.com/office/drawing/2010/slicer">
              <sle:slicer xmlns:sle="http://schemas.microsoft.com/office/drawing/2010/slicer" name="TANGGAL BERANGKAT 1"/>
            </a:graphicData>
          </a:graphic>
        </xdr:graphicFrame>
      </mc:Choice>
      <mc:Fallback xmlns="">
        <xdr:sp macro="" textlink="">
          <xdr:nvSpPr>
            <xdr:cNvPr id="0" name=""/>
            <xdr:cNvSpPr>
              <a:spLocks noTextEdit="1"/>
            </xdr:cNvSpPr>
          </xdr:nvSpPr>
          <xdr:spPr>
            <a:xfrm>
              <a:off x="0" y="0"/>
              <a:ext cx="1539158" cy="6861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17622</xdr:rowOff>
    </xdr:from>
    <xdr:to>
      <xdr:col>4</xdr:col>
      <xdr:colOff>1428750</xdr:colOff>
      <xdr:row>40</xdr:row>
      <xdr:rowOff>27214</xdr:rowOff>
    </xdr:to>
    <xdr:graphicFrame macro="">
      <xdr:nvGraphicFramePr>
        <xdr:cNvPr id="5" name="Chart 4">
          <a:extLst>
            <a:ext uri="{FF2B5EF4-FFF2-40B4-BE49-F238E27FC236}">
              <a16:creationId xmlns:a16="http://schemas.microsoft.com/office/drawing/2014/main" id="{9CCE4E23-0F4D-408C-9808-236A8ECF6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1756569</xdr:colOff>
      <xdr:row>16</xdr:row>
      <xdr:rowOff>150556</xdr:rowOff>
    </xdr:from>
    <xdr:to>
      <xdr:col>14</xdr:col>
      <xdr:colOff>598713</xdr:colOff>
      <xdr:row>39</xdr:row>
      <xdr:rowOff>163286</xdr:rowOff>
    </xdr:to>
    <xdr:graphicFrame macro="">
      <xdr:nvGraphicFramePr>
        <xdr:cNvPr id="6" name="Chart 5">
          <a:extLst>
            <a:ext uri="{FF2B5EF4-FFF2-40B4-BE49-F238E27FC236}">
              <a16:creationId xmlns:a16="http://schemas.microsoft.com/office/drawing/2014/main" id="{E0C9DC5D-1EAE-4615-90B3-922E734E8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lia Khairunnisa" refreshedDate="46236.880634259258" createdVersion="6" refreshedVersion="6" minRefreshableVersion="3" recordCount="40" xr:uid="{1ED12056-35EA-416A-8942-41D56137F365}">
  <cacheSource type="worksheet">
    <worksheetSource ref="A2:O42" sheet="Airline_Booking"/>
  </cacheSource>
  <cacheFields count="15">
    <cacheField name="NO" numFmtId="0">
      <sharedItems containsSemiMixedTypes="0" containsString="0" containsNumber="1" containsInteger="1" minValue="1" maxValue="40"/>
    </cacheField>
    <cacheField name="NAMA PENUMPANG" numFmtId="0">
      <sharedItems/>
    </cacheField>
    <cacheField name="KODE PENERBANGAN" numFmtId="0">
      <sharedItems/>
    </cacheField>
    <cacheField name="MASKAPAI" numFmtId="0">
      <sharedItems count="5">
        <s v="Satu Angkasa Air"/>
        <s v="Aero Citra Air"/>
        <s v="Sky Nusantara Air"/>
        <s v="Cakrawala Air"/>
        <s v="Mega Nusantara Air"/>
      </sharedItems>
    </cacheField>
    <cacheField name="TIPE MASKAPAI" numFmtId="0">
      <sharedItems/>
    </cacheField>
    <cacheField name="KELAS" numFmtId="0">
      <sharedItems count="3">
        <s v="Bisnis"/>
        <s v="Premium Ekonomi"/>
        <s v="Ekonomi"/>
      </sharedItems>
    </cacheField>
    <cacheField name="ASAL" numFmtId="0">
      <sharedItems/>
    </cacheField>
    <cacheField name="TUJUAN" numFmtId="0">
      <sharedItems/>
    </cacheField>
    <cacheField name="TANGGAL BERANGKAT" numFmtId="164">
      <sharedItems containsSemiMixedTypes="0" containsNonDate="0" containsDate="1" containsString="0" minDate="2025-05-25T00:00:00" maxDate="2025-07-01T00:00:00" count="27">
        <d v="2025-05-25T00:00:00"/>
        <d v="2025-05-26T00:00:00"/>
        <d v="2025-05-27T00:00:00"/>
        <d v="2025-05-28T00:00:00"/>
        <d v="2025-05-29T00:00:00"/>
        <d v="2025-05-30T00:00:00"/>
        <d v="2025-05-31T00:00:00"/>
        <d v="2025-06-01T00:00:00"/>
        <d v="2025-06-05T00:00:00"/>
        <d v="2025-06-07T00:00:00"/>
        <d v="2025-06-10T00:00:00"/>
        <d v="2025-06-11T00:00:00"/>
        <d v="2025-06-12T00:00:00"/>
        <d v="2025-06-13T00:00:00"/>
        <d v="2025-06-14T00:00:00"/>
        <d v="2025-06-15T00:00:00"/>
        <d v="2025-06-17T00:00:00"/>
        <d v="2025-06-18T00:00:00"/>
        <d v="2025-06-19T00:00:00"/>
        <d v="2025-06-20T00:00:00"/>
        <d v="2025-06-21T00:00:00"/>
        <d v="2025-06-24T00:00:00"/>
        <d v="2025-06-25T00:00:00"/>
        <d v="2025-06-26T00:00:00"/>
        <d v="2025-06-27T00:00:00"/>
        <d v="2025-06-29T00:00:00"/>
        <d v="2025-06-30T00:00:00"/>
      </sharedItems>
      <fieldGroup base="8">
        <rangePr groupBy="months" startDate="2025-05-25T00:00:00" endDate="2025-07-01T00:00:00"/>
        <groupItems count="14">
          <s v="&lt;25/05/2025"/>
          <s v="Jan"/>
          <s v="Feb"/>
          <s v="Mar"/>
          <s v="Apr"/>
          <s v="May"/>
          <s v="Jun"/>
          <s v="Jul"/>
          <s v="Aug"/>
          <s v="Sep"/>
          <s v="Oct"/>
          <s v="Nov"/>
          <s v="Dec"/>
          <s v="&gt;01/07/2025"/>
        </groupItems>
      </fieldGroup>
    </cacheField>
    <cacheField name="JAM BERANGKAT" numFmtId="165">
      <sharedItems containsSemiMixedTypes="0" containsNonDate="0" containsDate="1" containsString="0" minDate="1899-12-30T00:19:00" maxDate="1899-12-30T23:40:00"/>
    </cacheField>
    <cacheField name="ESTIMASI DURASI (JAM)" numFmtId="1">
      <sharedItems containsSemiMixedTypes="0" containsString="0" containsNumber="1" minValue="1" maxValue="2"/>
    </cacheField>
    <cacheField name="KEDATANGAN" numFmtId="166">
      <sharedItems containsSemiMixedTypes="0" containsNonDate="0" containsDate="1" containsString="0" minDate="2025-05-25T09:12:00" maxDate="2025-06-30T07:12:00"/>
    </cacheField>
    <cacheField name="GATE" numFmtId="0">
      <sharedItems/>
    </cacheField>
    <cacheField name="SEAT" numFmtId="0">
      <sharedItems/>
    </cacheField>
    <cacheField name="HARGA TIKET" numFmtId="42">
      <sharedItems containsSemiMixedTypes="0" containsString="0" containsNumber="1" containsInteger="1" minValue="550000" maxValue="2700000"/>
    </cacheField>
  </cacheFields>
  <extLst>
    <ext xmlns:x14="http://schemas.microsoft.com/office/spreadsheetml/2009/9/main" uri="{725AE2AE-9491-48be-B2B4-4EB974FC3084}">
      <x14:pivotCacheDefinition pivotCacheId="725259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s v="LOKA WIRANTA"/>
    <s v="SAA/L/BN-25/05/2025-MDN-ACH/A3"/>
    <x v="0"/>
    <s v="LCC"/>
    <x v="0"/>
    <s v="Medan"/>
    <s v="Aceh"/>
    <x v="0"/>
    <d v="1899-12-30T17:10:00"/>
    <n v="1"/>
    <d v="2025-05-25T18:10:00"/>
    <s v="A3"/>
    <s v="7A"/>
    <n v="900000"/>
  </r>
  <r>
    <n v="2"/>
    <s v="HANA LIN"/>
    <s v="SAA/L/PE-25/05/2025-MDN-ACH/A3"/>
    <x v="0"/>
    <s v="LCC"/>
    <x v="1"/>
    <s v="Medan"/>
    <s v="Aceh"/>
    <x v="0"/>
    <d v="1899-12-30T08:12:00"/>
    <n v="1"/>
    <d v="2025-05-25T09:12:00"/>
    <s v="A3"/>
    <s v="30E"/>
    <n v="700000"/>
  </r>
  <r>
    <n v="3"/>
    <s v="SANITA VELORA"/>
    <s v="ACA/R/PE-26/05/2025-KPG-MME/C1"/>
    <x v="1"/>
    <s v="Regional/Charter"/>
    <x v="1"/>
    <s v="Kupang"/>
    <s v="Maumere"/>
    <x v="1"/>
    <d v="1899-12-30T22:50:00"/>
    <n v="1.5"/>
    <d v="2025-05-27T00:20:00"/>
    <s v="C1"/>
    <s v="14B"/>
    <n v="950000"/>
  </r>
  <r>
    <n v="4"/>
    <s v="VANYA RUSELINA"/>
    <s v="SNA/F/EK-27/05/2025-JKT-SBY/A5"/>
    <x v="2"/>
    <s v="Full-Service"/>
    <x v="2"/>
    <s v="Jakarta"/>
    <s v="Surabaya"/>
    <x v="2"/>
    <d v="1899-12-30T04:51:00"/>
    <n v="1.5"/>
    <d v="2025-05-27T06:21:00"/>
    <s v="A5"/>
    <s v="20F"/>
    <n v="1200000"/>
  </r>
  <r>
    <n v="5"/>
    <s v="REZA TARMOKO"/>
    <s v="SNA/F/EK-27/05/2025-JKT-SBY/A5"/>
    <x v="2"/>
    <s v="Full-Service"/>
    <x v="2"/>
    <s v="Jakarta"/>
    <s v="Surabaya"/>
    <x v="2"/>
    <d v="1899-12-30T17:14:00"/>
    <n v="1.5"/>
    <d v="2025-05-27T18:44:00"/>
    <s v="A5"/>
    <s v="26A"/>
    <n v="1200000"/>
  </r>
  <r>
    <n v="6"/>
    <s v="DARGO MAWESTA"/>
    <s v="CWA/L/BN-28/05/2025-YGY-MKS-B2"/>
    <x v="3"/>
    <s v="LCC"/>
    <x v="0"/>
    <s v="Yogyakarta"/>
    <s v="Makassar"/>
    <x v="3"/>
    <d v="1899-12-30T17:03:00"/>
    <n v="2"/>
    <d v="2025-05-28T19:03:00"/>
    <s v="B2"/>
    <s v="22B"/>
    <n v="2000000"/>
  </r>
  <r>
    <n v="7"/>
    <s v="TISYA AVENDRA"/>
    <s v="MNA/F/EK-29/05/2025-JKT-BLI-B5"/>
    <x v="4"/>
    <s v="Full-Service"/>
    <x v="2"/>
    <s v="Jakarta"/>
    <s v="Bali"/>
    <x v="4"/>
    <d v="1899-12-30T18:02:00"/>
    <n v="1.5"/>
    <d v="2025-05-29T19:32:00"/>
    <s v="B5"/>
    <s v="30F"/>
    <n v="1500000"/>
  </r>
  <r>
    <n v="8"/>
    <s v="KARYO LIMANTARA"/>
    <s v="MNA/F/EK/30/05/2025-JKT-BLI-B5"/>
    <x v="4"/>
    <s v="Full-Service"/>
    <x v="2"/>
    <s v="Jakarta"/>
    <s v="Bali"/>
    <x v="5"/>
    <d v="1899-12-30T11:26:00"/>
    <n v="1.5"/>
    <d v="2025-05-30T12:56:00"/>
    <s v="B5"/>
    <s v="28B"/>
    <n v="1500000"/>
  </r>
  <r>
    <n v="9"/>
    <s v="JEFRO MALANTARA"/>
    <s v="ACA/R/PE-30/05/2025-KPG-MME/C1"/>
    <x v="1"/>
    <s v="Regional/Charter"/>
    <x v="1"/>
    <s v="Kupang"/>
    <s v="Maumere"/>
    <x v="5"/>
    <d v="1899-12-30T10:39:00"/>
    <n v="1.5"/>
    <d v="2025-05-30T12:09:00"/>
    <s v="C1"/>
    <s v="17A"/>
    <n v="950000"/>
  </r>
  <r>
    <n v="10"/>
    <s v="BINAR KENDARTA"/>
    <s v="ACA/R/EK-31/05/2025-KPG-MME/C1"/>
    <x v="1"/>
    <s v="Regional/Charter"/>
    <x v="2"/>
    <s v="Kupang"/>
    <s v="Maumere"/>
    <x v="6"/>
    <d v="1899-12-30T08:26:00"/>
    <n v="1.5"/>
    <d v="2025-05-31T09:56:00"/>
    <s v="C1"/>
    <s v="15D"/>
    <n v="750000"/>
  </r>
  <r>
    <n v="11"/>
    <s v="CHIKA YURESTA"/>
    <s v="MNA/F/PE-31/05/2025-JKT-BLI/B5"/>
    <x v="4"/>
    <s v="Full-Service"/>
    <x v="1"/>
    <s v="Jakarta"/>
    <s v="Bali"/>
    <x v="6"/>
    <d v="1899-12-30T23:40:00"/>
    <n v="1.5"/>
    <d v="2025-06-01T01:10:00"/>
    <s v="B5"/>
    <s v="9E"/>
    <n v="1900000"/>
  </r>
  <r>
    <n v="12"/>
    <s v="MEI ZHANG"/>
    <s v="SNA/F/EK-31/05/2025-JKT-SBY/A3"/>
    <x v="2"/>
    <s v="Full-Service"/>
    <x v="2"/>
    <s v="Jakarta"/>
    <s v="Surabaya"/>
    <x v="6"/>
    <d v="1899-12-30T03:21:00"/>
    <n v="1.5"/>
    <d v="2025-05-31T04:51:00"/>
    <s v="A3"/>
    <s v="15E"/>
    <n v="1200000"/>
  </r>
  <r>
    <n v="13"/>
    <s v="LIU SHISHI"/>
    <s v="SAA/L/EK-01/06/2025-MDN-ACH/A5"/>
    <x v="0"/>
    <s v="LCC"/>
    <x v="2"/>
    <s v="Medan"/>
    <s v="Aceh"/>
    <x v="7"/>
    <d v="1899-12-30T22:23:00"/>
    <n v="1"/>
    <d v="2025-06-01T23:23:00"/>
    <s v="A5"/>
    <s v="24B"/>
    <n v="550000"/>
  </r>
  <r>
    <n v="14"/>
    <s v="ZHANG ROUNAN"/>
    <s v="SNA/F/EK-05/06/2025-JKT-SBY/B2"/>
    <x v="2"/>
    <s v="Full-Service"/>
    <x v="2"/>
    <s v="Jakarta"/>
    <s v="Surabaya"/>
    <x v="8"/>
    <d v="1899-12-30T02:13:00"/>
    <n v="1.5"/>
    <d v="2025-06-05T03:43:00"/>
    <s v="B2"/>
    <s v="15A"/>
    <n v="1200000"/>
  </r>
  <r>
    <n v="15"/>
    <s v="SONG ZUER"/>
    <s v="CWA/L/BN-07/06/2025-YGY-MKS/C1"/>
    <x v="3"/>
    <s v="LCC"/>
    <x v="0"/>
    <s v="Yogyakarta"/>
    <s v="Makassar"/>
    <x v="9"/>
    <d v="1899-12-30T17:19:00"/>
    <n v="2"/>
    <d v="2025-06-07T19:19:00"/>
    <s v="C1"/>
    <s v="16F"/>
    <n v="2000000"/>
  </r>
  <r>
    <n v="16"/>
    <s v="VARO GHANTIRA"/>
    <s v="ACA/R/PE-07/06/2025-KPG-MME/A5"/>
    <x v="1"/>
    <s v="Regional/Charter"/>
    <x v="1"/>
    <s v="Kupang"/>
    <s v="Maumere"/>
    <x v="9"/>
    <d v="1899-12-30T08:37:00"/>
    <n v="1.5"/>
    <d v="2025-06-07T10:07:00"/>
    <s v="A5"/>
    <s v="22F"/>
    <n v="950000"/>
  </r>
  <r>
    <n v="17"/>
    <s v="ZHANG YUNLONG"/>
    <s v="SNA/F/EK-10/06/2025-JKT-SBY/B5"/>
    <x v="2"/>
    <s v="Full-Service"/>
    <x v="2"/>
    <s v="Jakarta"/>
    <s v="Surabaya"/>
    <x v="10"/>
    <d v="1899-12-30T19:04:00"/>
    <n v="1.5"/>
    <d v="2025-06-10T20:34:00"/>
    <s v="B5"/>
    <s v="28A"/>
    <n v="1200000"/>
  </r>
  <r>
    <n v="18"/>
    <s v="BAI JINTING"/>
    <s v="MNA/F/EK-11/06/2025-JKT-BLI/A3"/>
    <x v="4"/>
    <s v="Full-Service"/>
    <x v="2"/>
    <s v="Jakarta"/>
    <s v="Bali"/>
    <x v="11"/>
    <d v="1899-12-30T15:46:00"/>
    <n v="1.5"/>
    <d v="2025-06-11T17:16:00"/>
    <s v="A3"/>
    <s v="27E"/>
    <n v="1500000"/>
  </r>
  <r>
    <n v="19"/>
    <s v="LIU YUNING"/>
    <s v="SAA/L-EK-12/06/2025-MDN-ACH/A5"/>
    <x v="0"/>
    <s v="LCC"/>
    <x v="2"/>
    <s v="Medan"/>
    <s v="Aceh"/>
    <x v="12"/>
    <d v="1899-12-30T04:36:00"/>
    <n v="1"/>
    <d v="2025-06-12T05:36:00"/>
    <s v="A5"/>
    <s v="8F"/>
    <n v="550000"/>
  </r>
  <r>
    <n v="20"/>
    <s v="SELVI MAHARENTIYA"/>
    <s v="SNA/F-EK-13/06/2025-JKT-SBY/B5"/>
    <x v="2"/>
    <s v="Full-Service"/>
    <x v="2"/>
    <s v="Jakarta"/>
    <s v="Surabaya"/>
    <x v="13"/>
    <d v="1899-12-30T14:09:00"/>
    <n v="1.5"/>
    <d v="2025-06-13T15:39:00"/>
    <s v="B5"/>
    <s v="28A"/>
    <n v="1200000"/>
  </r>
  <r>
    <n v="21"/>
    <s v="ETHAN CHALLISTER"/>
    <s v="MNA/F-BN-12/06/2025-JKT-BLI/B5"/>
    <x v="4"/>
    <s v="Full-Service"/>
    <x v="0"/>
    <s v="Jakarta"/>
    <s v="Bali"/>
    <x v="12"/>
    <d v="1899-12-30T03:23:00"/>
    <n v="1.5"/>
    <d v="2025-06-12T04:53:00"/>
    <s v="B5"/>
    <s v="24B"/>
    <n v="2700000"/>
  </r>
  <r>
    <n v="22"/>
    <s v="DENO ABHYAKA"/>
    <s v="CWA/L/BN-14/06/2025-YGY-MKS/B2"/>
    <x v="3"/>
    <s v="LCC"/>
    <x v="0"/>
    <s v="Yogyakarta"/>
    <s v="Makassar"/>
    <x v="14"/>
    <d v="1899-12-30T16:31:00"/>
    <n v="2"/>
    <d v="2025-06-14T18:31:00"/>
    <s v="B2"/>
    <s v="15D"/>
    <n v="2000000"/>
  </r>
  <r>
    <n v="23"/>
    <s v="LINDA SERWASTI"/>
    <s v="SAA/L/PE-15/06/2025-MDN-ACH/A3"/>
    <x v="0"/>
    <s v="LCC"/>
    <x v="1"/>
    <s v="Medan"/>
    <s v="Aceh"/>
    <x v="15"/>
    <d v="1899-12-30T20:07:00"/>
    <n v="1"/>
    <d v="2025-06-15T21:07:00"/>
    <s v="A3"/>
    <s v="21D"/>
    <n v="700000"/>
  </r>
  <r>
    <n v="24"/>
    <s v="CALVIN TRASMOKO"/>
    <s v="SAA/L/BN-15/06/2025-MDN-ACH/A3"/>
    <x v="0"/>
    <s v="LCC"/>
    <x v="0"/>
    <s v="Medan"/>
    <s v="Aceh"/>
    <x v="15"/>
    <d v="1899-12-30T14:52:00"/>
    <n v="1"/>
    <d v="2025-06-15T15:52:00"/>
    <s v="A3"/>
    <s v="21A"/>
    <n v="900000"/>
  </r>
  <r>
    <n v="25"/>
    <s v="YAVITA ORLENZA"/>
    <s v="ACA/R/BN-17/06/2025-KPG-MME/C1"/>
    <x v="1"/>
    <s v="Regional/Charter"/>
    <x v="0"/>
    <s v="Kupang"/>
    <s v="Maumere"/>
    <x v="16"/>
    <d v="1899-12-30T23:16:00"/>
    <n v="1.5"/>
    <d v="2025-06-18T00:46:00"/>
    <s v="C1"/>
    <s v="23C"/>
    <n v="1300000"/>
  </r>
  <r>
    <n v="26"/>
    <s v="GALAN MERDANA"/>
    <s v="CWA/L/BN-18/06/2025-YGY-MKS/B2"/>
    <x v="3"/>
    <s v="LCC"/>
    <x v="0"/>
    <s v="Yogyakarta"/>
    <s v="Makassar"/>
    <x v="17"/>
    <d v="1899-12-30T19:19:00"/>
    <n v="2"/>
    <d v="2025-06-18T21:19:00"/>
    <s v="B2"/>
    <s v="20F"/>
    <n v="2000000"/>
  </r>
  <r>
    <n v="27"/>
    <s v="SYIFA ANTAVERA"/>
    <s v="SNA/F/EK-18/06/2025-JKT-SBY/A5"/>
    <x v="2"/>
    <s v="Full-Service"/>
    <x v="2"/>
    <s v="Jakarta"/>
    <s v="Surabaya"/>
    <x v="17"/>
    <d v="1899-12-30T20:09:00"/>
    <n v="1.5"/>
    <d v="2025-06-18T21:39:00"/>
    <s v="A5"/>
    <s v="28A"/>
    <n v="1200000"/>
  </r>
  <r>
    <n v="28"/>
    <s v="NIRA ZALINDRA"/>
    <s v="SAA/L/EK-19/06/2025-MDN-ACH/A3"/>
    <x v="0"/>
    <s v="LCC"/>
    <x v="2"/>
    <s v="Medan"/>
    <s v="Aceh"/>
    <x v="18"/>
    <d v="1899-12-30T02:17:00"/>
    <n v="1"/>
    <d v="2025-06-19T03:17:00"/>
    <s v="A3"/>
    <s v="7A"/>
    <n v="550000"/>
  </r>
  <r>
    <n v="29"/>
    <s v="LIAM HARGROVE"/>
    <s v="CWA/L/BN-20/06/2025-YGY-MKS/B2"/>
    <x v="3"/>
    <s v="LCC"/>
    <x v="0"/>
    <s v="Yogyakarta"/>
    <s v="Makassar"/>
    <x v="19"/>
    <d v="1899-12-30T00:19:00"/>
    <n v="2"/>
    <d v="2025-06-20T02:19:00"/>
    <s v="B2"/>
    <s v="5B"/>
    <n v="2000000"/>
  </r>
  <r>
    <n v="30"/>
    <s v="YICHEN LUO"/>
    <s v="CWA/L/BN-21/06/2025-YGY-MKS/B2"/>
    <x v="3"/>
    <s v="LCC"/>
    <x v="0"/>
    <s v="Yogyakarta"/>
    <s v="Makassar"/>
    <x v="20"/>
    <d v="1899-12-30T05:43:00"/>
    <n v="2"/>
    <d v="2025-06-21T07:43:00"/>
    <s v="B2"/>
    <s v="18B"/>
    <n v="2000000"/>
  </r>
  <r>
    <n v="31"/>
    <s v="CHENG XIAO"/>
    <s v="SAA/L/PE-24/06/2025-MDN-ACH/A3"/>
    <x v="0"/>
    <s v="LCC"/>
    <x v="1"/>
    <s v="Medan"/>
    <s v="Aceh"/>
    <x v="21"/>
    <d v="1899-12-30T17:54:00"/>
    <n v="1"/>
    <d v="2025-06-24T18:54:00"/>
    <s v="A3"/>
    <s v="17A"/>
    <n v="700000"/>
  </r>
  <r>
    <n v="32"/>
    <s v="XU KAI"/>
    <s v="ACA/R/PE-25/06/2025-KPG-MME/C1"/>
    <x v="1"/>
    <s v="Regional/Charter"/>
    <x v="1"/>
    <s v="Kupang"/>
    <s v="Maumere"/>
    <x v="22"/>
    <d v="1899-12-30T15:04:00"/>
    <n v="1.5"/>
    <d v="2025-06-25T16:34:00"/>
    <s v="C1"/>
    <s v="5C"/>
    <n v="950000"/>
  </r>
  <r>
    <n v="33"/>
    <s v="SONG WEI LONG"/>
    <s v="ACA/R/PE-26/06/2025-KPG-MME/C1"/>
    <x v="1"/>
    <s v="Regional/Charter"/>
    <x v="1"/>
    <s v="Kupang"/>
    <s v="Maumere"/>
    <x v="23"/>
    <d v="1899-12-30T06:57:00"/>
    <n v="1.5"/>
    <d v="2025-06-26T08:27:00"/>
    <s v="C1"/>
    <s v="13C"/>
    <n v="950000"/>
  </r>
  <r>
    <n v="34"/>
    <s v="NANO MURWANTO"/>
    <s v="SAA/L/EK-26/06/2025-MDN-ACH/A3"/>
    <x v="0"/>
    <s v="LCC"/>
    <x v="2"/>
    <s v="Medan"/>
    <s v="Aceh"/>
    <x v="23"/>
    <d v="1899-12-30T10:53:00"/>
    <n v="1"/>
    <d v="2025-06-26T11:53:00"/>
    <s v="A3"/>
    <s v="16A"/>
    <n v="550000"/>
  </r>
  <r>
    <n v="35"/>
    <s v="KAKA KIKI"/>
    <s v="MNA/F/BN-26/06/2025-JKT-BLI/B5"/>
    <x v="4"/>
    <s v="Full-Service"/>
    <x v="0"/>
    <s v="Jakarta"/>
    <s v="Bali"/>
    <x v="23"/>
    <d v="1899-12-30T22:18:00"/>
    <n v="1.5"/>
    <d v="2025-06-26T23:48:00"/>
    <s v="B5"/>
    <s v="18E"/>
    <n v="2700000"/>
  </r>
  <r>
    <n v="36"/>
    <s v="SARI PATI INDAH"/>
    <s v="ACA/R/PE-26/06/2025-KPG-MME/C1"/>
    <x v="1"/>
    <s v="Regional/Charter"/>
    <x v="1"/>
    <s v="Kupang"/>
    <s v="Maumere"/>
    <x v="23"/>
    <d v="1899-12-30T11:52:00"/>
    <n v="1.5"/>
    <d v="2025-06-26T13:22:00"/>
    <s v="C1"/>
    <s v="29D"/>
    <n v="950000"/>
  </r>
  <r>
    <n v="37"/>
    <s v="DUMANDO"/>
    <s v="SAA/L/PE-27/06/2025-MDN-ACH/C3"/>
    <x v="0"/>
    <s v="LCC"/>
    <x v="1"/>
    <s v="Medan"/>
    <s v="Aceh"/>
    <x v="24"/>
    <d v="1899-12-30T12:16:00"/>
    <n v="1"/>
    <d v="2025-06-27T13:16:00"/>
    <s v="C3"/>
    <s v="19B"/>
    <n v="700000"/>
  </r>
  <r>
    <n v="38"/>
    <s v="CICI MEILI"/>
    <s v="MNA/F/EK-29/06/2025-JKT-BLI/B5"/>
    <x v="4"/>
    <s v="Full-Service"/>
    <x v="2"/>
    <s v="Jakarta"/>
    <s v="Bali"/>
    <x v="25"/>
    <d v="1899-12-30T06:02:00"/>
    <n v="1.5"/>
    <d v="2025-06-29T07:32:00"/>
    <s v="B5"/>
    <s v="8A"/>
    <n v="1500000"/>
  </r>
  <r>
    <n v="39"/>
    <s v="TIA RAY"/>
    <s v="ACA/R/BN-29/06/2025-KPG-MME/C1"/>
    <x v="1"/>
    <s v="Regional/Charter"/>
    <x v="0"/>
    <s v="Kupang"/>
    <s v="Maumere"/>
    <x v="25"/>
    <d v="1899-12-30T04:43:00"/>
    <n v="1.5"/>
    <d v="2025-06-29T06:13:00"/>
    <s v="C1"/>
    <s v="2F"/>
    <n v="1300000"/>
  </r>
  <r>
    <n v="40"/>
    <s v="RAVIE WARDANA"/>
    <s v="SAA/L/EK-30/06/2025-MDN-ACH/A3"/>
    <x v="0"/>
    <s v="LCC"/>
    <x v="2"/>
    <s v="Medan"/>
    <s v="Aceh"/>
    <x v="26"/>
    <d v="1899-12-30T06:12:00"/>
    <n v="1"/>
    <d v="2025-06-30T07:12:00"/>
    <s v="A3"/>
    <s v="17E"/>
    <n v="5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5A31E7-0042-49AF-9A40-07146708FC9C}" name="PivotTable2" cacheId="0" applyNumberFormats="0" applyBorderFormats="0" applyFontFormats="0" applyPatternFormats="0" applyAlignmentFormats="0" applyWidthHeightFormats="1" dataCaption="Values" updatedVersion="6" minRefreshableVersion="3" useAutoFormatting="1" colGrandTotals="0" itemPrintTitles="1" createdVersion="6" indent="0" compact="0" outline="1" outlineData="1" compactData="0" multipleFieldFilters="0" chartFormat="2">
  <location ref="F5:G11" firstHeaderRow="1" firstDataRow="1" firstDataCol="1"/>
  <pivotFields count="15">
    <pivotField compact="0" showAll="0" defaultSubtotal="0"/>
    <pivotField compact="0" showAll="0" defaultSubtotal="0"/>
    <pivotField compact="0" showAll="0" defaultSubtotal="0"/>
    <pivotField axis="axisRow" compact="0" showAll="0" defaultSubtotal="0">
      <items count="5">
        <item x="1"/>
        <item x="3"/>
        <item x="4"/>
        <item x="0"/>
        <item x="2"/>
      </items>
    </pivotField>
    <pivotField compact="0" showAll="0" defaultSubtotal="0"/>
    <pivotField compact="0" showAll="0" defaultSubtotal="0">
      <items count="3">
        <item x="0"/>
        <item x="2"/>
        <item x="1"/>
      </items>
    </pivotField>
    <pivotField compact="0" showAll="0" defaultSubtotal="0"/>
    <pivotField compact="0" showAll="0" defaultSubtotal="0"/>
    <pivotField compact="0" numFmtId="164" showAll="0" defaultSubtotal="0">
      <items count="14">
        <item x="0"/>
        <item x="1"/>
        <item x="2"/>
        <item x="3"/>
        <item x="4"/>
        <item x="5"/>
        <item x="6"/>
        <item x="7"/>
        <item x="8"/>
        <item x="9"/>
        <item x="10"/>
        <item x="11"/>
        <item x="12"/>
        <item x="13"/>
      </items>
    </pivotField>
    <pivotField compact="0" numFmtId="165" showAll="0" defaultSubtotal="0"/>
    <pivotField compact="0" numFmtId="1" showAll="0" defaultSubtotal="0"/>
    <pivotField compact="0" numFmtId="166" showAll="0" defaultSubtotal="0"/>
    <pivotField compact="0" showAll="0" defaultSubtotal="0"/>
    <pivotField compact="0" showAll="0" defaultSubtotal="0"/>
    <pivotField dataField="1" compact="0" numFmtId="42" showAll="0" defaultSubtotal="0"/>
  </pivotFields>
  <rowFields count="1">
    <field x="3"/>
  </rowFields>
  <rowItems count="6">
    <i>
      <x/>
    </i>
    <i>
      <x v="1"/>
    </i>
    <i>
      <x v="2"/>
    </i>
    <i>
      <x v="3"/>
    </i>
    <i>
      <x v="4"/>
    </i>
    <i t="grand">
      <x/>
    </i>
  </rowItems>
  <colItems count="1">
    <i/>
  </colItems>
  <dataFields count="1">
    <dataField name="Sum of HARGA TIKET" fld="14" baseField="0" baseItem="0" numFmtId="42"/>
  </dataFields>
  <formats count="1">
    <format dxfId="0">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D4925A-968D-4A46-85E7-769C3FF9141D}" name="PivotTable1" cacheId="0" applyNumberFormats="0" applyBorderFormats="0" applyFontFormats="0" applyPatternFormats="0" applyAlignmentFormats="0" applyWidthHeightFormats="1" dataCaption="Values" updatedVersion="6" minRefreshableVersion="3" useAutoFormatting="1" colGrandTotals="0" itemPrintTitles="1" createdVersion="6" indent="0" compact="0" compactData="0" multipleFieldFilters="0" chartFormat="1">
  <location ref="A5:C17" firstHeaderRow="1" firstDataRow="1" firstDataCol="2"/>
  <pivotFields count="15">
    <pivotField compact="0" outline="0" showAll="0" defaultSubtotal="0"/>
    <pivotField dataField="1" compact="0" outline="0" showAll="0" defaultSubtotal="0"/>
    <pivotField compact="0" outline="0" showAll="0" defaultSubtotal="0"/>
    <pivotField axis="axisRow" compact="0" outline="0" showAll="0" defaultSubtotal="0">
      <items count="5">
        <item x="1"/>
        <item x="3"/>
        <item x="4"/>
        <item x="0"/>
        <item x="2"/>
      </items>
    </pivotField>
    <pivotField compact="0" outline="0" showAll="0" defaultSubtotal="0"/>
    <pivotField axis="axisRow" compact="0" outline="0" showAll="0" defaultSubtotal="0">
      <items count="3">
        <item x="0"/>
        <item x="2"/>
        <item x="1"/>
      </items>
    </pivotField>
    <pivotField compact="0" outline="0" showAll="0" defaultSubtotal="0"/>
    <pivotField compact="0" outline="0" showAll="0" defaultSubtotal="0"/>
    <pivotField compact="0" numFmtId="164" outline="0" showAll="0" defaultSubtotal="0">
      <items count="14">
        <item x="0"/>
        <item x="1"/>
        <item x="2"/>
        <item x="3"/>
        <item x="4"/>
        <item x="5"/>
        <item x="6"/>
        <item x="7"/>
        <item x="8"/>
        <item x="9"/>
        <item x="10"/>
        <item x="11"/>
        <item x="12"/>
        <item x="13"/>
      </items>
    </pivotField>
    <pivotField compact="0" numFmtId="165" outline="0" showAll="0" defaultSubtotal="0"/>
    <pivotField compact="0" numFmtId="1" outline="0" showAll="0" defaultSubtotal="0"/>
    <pivotField compact="0" numFmtId="166" outline="0" showAll="0" defaultSubtotal="0"/>
    <pivotField compact="0" outline="0" showAll="0" defaultSubtotal="0"/>
    <pivotField compact="0" outline="0" showAll="0" defaultSubtotal="0"/>
    <pivotField compact="0" numFmtId="42" outline="0" showAll="0" defaultSubtotal="0"/>
  </pivotFields>
  <rowFields count="2">
    <field x="3"/>
    <field x="5"/>
  </rowFields>
  <rowItems count="12">
    <i>
      <x/>
      <x/>
    </i>
    <i r="1">
      <x v="1"/>
    </i>
    <i r="1">
      <x v="2"/>
    </i>
    <i>
      <x v="1"/>
      <x/>
    </i>
    <i>
      <x v="2"/>
      <x/>
    </i>
    <i r="1">
      <x v="1"/>
    </i>
    <i r="1">
      <x v="2"/>
    </i>
    <i>
      <x v="3"/>
      <x/>
    </i>
    <i r="1">
      <x v="1"/>
    </i>
    <i r="1">
      <x v="2"/>
    </i>
    <i>
      <x v="4"/>
      <x v="1"/>
    </i>
    <i t="grand">
      <x/>
    </i>
  </rowItems>
  <colItems count="1">
    <i/>
  </colItems>
  <dataFields count="1">
    <dataField name="Count of NAMA PENUMPANG"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BERANGKAT1" xr10:uid="{58FFB978-254D-4537-BC0E-2A32ABACF751}" sourceName="TANGGAL BERANGKAT">
  <pivotTables>
    <pivotTable tabId="6" name="PivotTable1"/>
    <pivotTable tabId="6" name="PivotTable2"/>
  </pivotTables>
  <data>
    <tabular pivotCacheId="725259010">
      <items count="14">
        <i x="5" s="1"/>
        <i x="6" s="1"/>
        <i x="1" s="1" nd="1"/>
        <i x="2" s="1" nd="1"/>
        <i x="3" s="1" nd="1"/>
        <i x="4"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NGGAL BERANGKAT 1" xr10:uid="{F5151E1F-859E-4D49-8507-9408593F225C}" cache="Slicer_TANGGAL_BERANGKAT1" caption="TANGGAL BERANGKAT" columnCount="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showGridLines="0" tabSelected="1" zoomScale="90" zoomScaleNormal="90" workbookViewId="0">
      <selection activeCell="Q31" sqref="Q31"/>
    </sheetView>
  </sheetViews>
  <sheetFormatPr defaultRowHeight="15" x14ac:dyDescent="0.25"/>
  <cols>
    <col min="2" max="2" width="20.85546875" customWidth="1"/>
    <col min="3" max="3" width="19" customWidth="1"/>
    <col min="4" max="5" width="14.7109375" customWidth="1"/>
    <col min="6" max="8" width="20.42578125" customWidth="1"/>
    <col min="10" max="11" width="5.7109375" customWidth="1"/>
  </cols>
  <sheetData>
    <row r="1" spans="1:10" ht="21" x14ac:dyDescent="0.35">
      <c r="A1" s="32" t="s">
        <v>175</v>
      </c>
      <c r="B1" s="33"/>
      <c r="C1" s="33"/>
      <c r="D1" s="33"/>
      <c r="E1" s="33"/>
      <c r="F1" s="33"/>
      <c r="G1" s="33"/>
      <c r="H1" s="34"/>
    </row>
    <row r="2" spans="1:10" x14ac:dyDescent="0.25">
      <c r="A2" s="35" t="s">
        <v>176</v>
      </c>
      <c r="B2" s="36"/>
      <c r="C2" s="36"/>
      <c r="D2" s="36"/>
      <c r="E2" s="36"/>
      <c r="F2" s="36"/>
      <c r="G2" s="36"/>
      <c r="H2" s="37"/>
      <c r="I2" s="23"/>
      <c r="J2" s="23"/>
    </row>
    <row r="3" spans="1:10" x14ac:dyDescent="0.25">
      <c r="A3" s="35" t="s">
        <v>177</v>
      </c>
      <c r="B3" s="36"/>
      <c r="C3" s="36"/>
      <c r="D3" s="36"/>
      <c r="E3" s="36"/>
      <c r="F3" s="36"/>
      <c r="G3" s="36"/>
      <c r="H3" s="37"/>
      <c r="I3" s="23"/>
      <c r="J3" s="23"/>
    </row>
    <row r="4" spans="1:10" ht="15.75" thickBot="1" x14ac:dyDescent="0.3">
      <c r="A4" s="38" t="s">
        <v>178</v>
      </c>
      <c r="B4" s="39"/>
      <c r="C4" s="39"/>
      <c r="D4" s="39"/>
      <c r="E4" s="39"/>
      <c r="F4" s="39"/>
      <c r="G4" s="39"/>
      <c r="H4" s="40"/>
      <c r="I4" s="23"/>
      <c r="J4" s="23"/>
    </row>
    <row r="5" spans="1:10" ht="15.75" thickTop="1" x14ac:dyDescent="0.25">
      <c r="A5" s="22"/>
      <c r="B5" s="23"/>
      <c r="C5" s="23"/>
      <c r="D5" s="23"/>
      <c r="E5" s="23"/>
      <c r="F5" s="23"/>
      <c r="G5" s="23"/>
      <c r="H5" s="24"/>
      <c r="I5" s="23"/>
    </row>
    <row r="6" spans="1:10" x14ac:dyDescent="0.25">
      <c r="A6" s="12"/>
      <c r="B6" s="12"/>
      <c r="C6" s="12"/>
      <c r="D6" s="12"/>
      <c r="E6" s="12"/>
      <c r="F6" s="41" t="s">
        <v>8</v>
      </c>
      <c r="G6" s="41"/>
      <c r="H6" s="41"/>
      <c r="I6" s="9"/>
    </row>
    <row r="7" spans="1:10" x14ac:dyDescent="0.25">
      <c r="A7" s="11" t="s">
        <v>137</v>
      </c>
      <c r="B7" s="11" t="s">
        <v>2</v>
      </c>
      <c r="C7" s="11" t="s">
        <v>61</v>
      </c>
      <c r="D7" s="11" t="s">
        <v>131</v>
      </c>
      <c r="E7" s="11" t="s">
        <v>153</v>
      </c>
      <c r="F7" s="11" t="s">
        <v>128</v>
      </c>
      <c r="G7" s="11" t="s">
        <v>129</v>
      </c>
      <c r="H7" s="11" t="s">
        <v>130</v>
      </c>
      <c r="I7" s="8"/>
    </row>
    <row r="8" spans="1:10" x14ac:dyDescent="0.25">
      <c r="A8" s="3" t="s">
        <v>138</v>
      </c>
      <c r="B8" s="3" t="s">
        <v>57</v>
      </c>
      <c r="C8" s="3" t="s">
        <v>63</v>
      </c>
      <c r="D8" s="21" t="s">
        <v>132</v>
      </c>
      <c r="E8" s="20">
        <v>1</v>
      </c>
      <c r="F8" s="10">
        <v>550000</v>
      </c>
      <c r="G8" s="10">
        <v>900000</v>
      </c>
      <c r="H8" s="10">
        <v>700000</v>
      </c>
    </row>
    <row r="9" spans="1:10" x14ac:dyDescent="0.25">
      <c r="A9" s="3" t="s">
        <v>139</v>
      </c>
      <c r="B9" s="3" t="s">
        <v>55</v>
      </c>
      <c r="C9" s="3" t="s">
        <v>64</v>
      </c>
      <c r="D9" s="21" t="s">
        <v>133</v>
      </c>
      <c r="E9" s="20">
        <v>1.5</v>
      </c>
      <c r="F9" s="10">
        <v>750000</v>
      </c>
      <c r="G9" s="10">
        <v>1300000</v>
      </c>
      <c r="H9" s="10">
        <v>950000</v>
      </c>
    </row>
    <row r="10" spans="1:10" x14ac:dyDescent="0.25">
      <c r="A10" s="3" t="s">
        <v>140</v>
      </c>
      <c r="B10" s="3" t="s">
        <v>58</v>
      </c>
      <c r="C10" s="3" t="s">
        <v>62</v>
      </c>
      <c r="D10" s="21" t="s">
        <v>134</v>
      </c>
      <c r="E10" s="20">
        <v>1.5</v>
      </c>
      <c r="F10" s="10">
        <v>1200000</v>
      </c>
      <c r="G10" s="10">
        <v>2200000</v>
      </c>
      <c r="H10" s="10">
        <v>1600000</v>
      </c>
    </row>
    <row r="11" spans="1:10" x14ac:dyDescent="0.25">
      <c r="A11" s="3" t="s">
        <v>141</v>
      </c>
      <c r="B11" s="3" t="s">
        <v>54</v>
      </c>
      <c r="C11" s="3" t="s">
        <v>63</v>
      </c>
      <c r="D11" s="21" t="s">
        <v>135</v>
      </c>
      <c r="E11" s="20">
        <v>2</v>
      </c>
      <c r="F11" s="10">
        <v>1100000</v>
      </c>
      <c r="G11" s="10">
        <v>2000000</v>
      </c>
      <c r="H11" s="10">
        <v>1350000</v>
      </c>
    </row>
    <row r="12" spans="1:10" x14ac:dyDescent="0.25">
      <c r="A12" s="3" t="s">
        <v>142</v>
      </c>
      <c r="B12" s="3" t="s">
        <v>56</v>
      </c>
      <c r="C12" s="3" t="s">
        <v>62</v>
      </c>
      <c r="D12" s="21" t="s">
        <v>136</v>
      </c>
      <c r="E12" s="20">
        <v>1.5</v>
      </c>
      <c r="F12" s="10">
        <v>1500000</v>
      </c>
      <c r="G12" s="10">
        <v>2700000</v>
      </c>
      <c r="H12" s="10">
        <v>1900000</v>
      </c>
    </row>
    <row r="13" spans="1:10" x14ac:dyDescent="0.25">
      <c r="A13" s="25"/>
      <c r="B13" s="2"/>
      <c r="C13" s="2"/>
      <c r="D13" s="2"/>
      <c r="E13" s="2"/>
      <c r="F13" s="2"/>
      <c r="G13" s="2"/>
      <c r="H13" s="26"/>
    </row>
    <row r="14" spans="1:10" x14ac:dyDescent="0.25">
      <c r="A14" s="25"/>
      <c r="B14" s="2"/>
      <c r="C14" s="2"/>
      <c r="D14" s="2"/>
      <c r="E14" s="2"/>
      <c r="F14" s="2"/>
      <c r="G14" s="2"/>
      <c r="H14" s="26"/>
    </row>
    <row r="15" spans="1:10" x14ac:dyDescent="0.25">
      <c r="A15" s="11" t="s">
        <v>137</v>
      </c>
      <c r="B15" s="11" t="s">
        <v>143</v>
      </c>
      <c r="C15" s="2"/>
      <c r="D15" s="2"/>
      <c r="E15" s="2"/>
      <c r="F15" s="2"/>
      <c r="G15" s="2"/>
      <c r="H15" s="26"/>
    </row>
    <row r="16" spans="1:10" x14ac:dyDescent="0.25">
      <c r="A16" s="3" t="s">
        <v>144</v>
      </c>
      <c r="B16" s="3" t="s">
        <v>72</v>
      </c>
      <c r="C16" s="2"/>
      <c r="D16" s="2"/>
      <c r="E16" s="2"/>
      <c r="F16" s="2"/>
      <c r="G16" s="2"/>
      <c r="H16" s="26"/>
    </row>
    <row r="17" spans="1:8" x14ac:dyDescent="0.25">
      <c r="A17" s="3" t="s">
        <v>145</v>
      </c>
      <c r="B17" s="3" t="s">
        <v>70</v>
      </c>
      <c r="C17" s="2"/>
      <c r="D17" s="2"/>
      <c r="E17" s="2" t="s">
        <v>53</v>
      </c>
      <c r="F17" s="2"/>
      <c r="G17" s="27"/>
      <c r="H17" s="26"/>
    </row>
    <row r="18" spans="1:8" x14ac:dyDescent="0.25">
      <c r="A18" s="3" t="s">
        <v>146</v>
      </c>
      <c r="B18" s="3" t="s">
        <v>65</v>
      </c>
      <c r="C18" s="2"/>
      <c r="D18" s="2"/>
      <c r="E18" s="2"/>
      <c r="F18" s="2"/>
      <c r="G18" s="2"/>
      <c r="H18" s="26"/>
    </row>
    <row r="19" spans="1:8" x14ac:dyDescent="0.25">
      <c r="A19" s="3" t="s">
        <v>147</v>
      </c>
      <c r="B19" s="3" t="s">
        <v>68</v>
      </c>
      <c r="C19" s="2"/>
      <c r="D19" s="2"/>
      <c r="E19" s="2"/>
      <c r="F19" s="2"/>
      <c r="G19" s="2"/>
      <c r="H19" s="26"/>
    </row>
    <row r="20" spans="1:8" x14ac:dyDescent="0.25">
      <c r="A20" s="3" t="s">
        <v>148</v>
      </c>
      <c r="B20" s="3" t="s">
        <v>73</v>
      </c>
      <c r="C20" s="2"/>
      <c r="D20" s="2"/>
      <c r="E20" s="2"/>
      <c r="F20" s="2"/>
      <c r="G20" s="2"/>
      <c r="H20" s="26"/>
    </row>
    <row r="21" spans="1:8" x14ac:dyDescent="0.25">
      <c r="A21" s="3" t="s">
        <v>149</v>
      </c>
      <c r="B21" s="3" t="s">
        <v>71</v>
      </c>
      <c r="C21" s="2"/>
      <c r="D21" s="2"/>
      <c r="E21" s="2"/>
      <c r="F21" s="2"/>
      <c r="G21" s="2"/>
      <c r="H21" s="26"/>
    </row>
    <row r="22" spans="1:8" x14ac:dyDescent="0.25">
      <c r="A22" s="3" t="s">
        <v>150</v>
      </c>
      <c r="B22" s="3" t="s">
        <v>66</v>
      </c>
      <c r="C22" s="2"/>
      <c r="D22" s="2"/>
      <c r="E22" s="2"/>
      <c r="F22" s="2"/>
      <c r="G22" s="2"/>
      <c r="H22" s="26"/>
    </row>
    <row r="23" spans="1:8" x14ac:dyDescent="0.25">
      <c r="A23" s="3" t="s">
        <v>151</v>
      </c>
      <c r="B23" s="3" t="s">
        <v>69</v>
      </c>
      <c r="C23" s="2"/>
      <c r="D23" s="2"/>
      <c r="E23" s="2"/>
      <c r="F23" s="2"/>
      <c r="G23" s="2"/>
      <c r="H23" s="26"/>
    </row>
    <row r="24" spans="1:8" x14ac:dyDescent="0.25">
      <c r="A24" s="3" t="s">
        <v>152</v>
      </c>
      <c r="B24" s="3" t="s">
        <v>67</v>
      </c>
      <c r="C24" s="28"/>
      <c r="D24" s="28"/>
      <c r="E24" s="28"/>
      <c r="F24" s="28"/>
      <c r="G24" s="28"/>
      <c r="H24" s="29"/>
    </row>
  </sheetData>
  <mergeCells count="5">
    <mergeCell ref="A1:H1"/>
    <mergeCell ref="A2:H2"/>
    <mergeCell ref="A3:H3"/>
    <mergeCell ref="A4:H4"/>
    <mergeCell ref="F6:H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2"/>
  <sheetViews>
    <sheetView showGridLines="0" zoomScale="70" zoomScaleNormal="70" workbookViewId="0">
      <selection activeCell="Z49" sqref="Z49"/>
    </sheetView>
  </sheetViews>
  <sheetFormatPr defaultRowHeight="15" x14ac:dyDescent="0.25"/>
  <cols>
    <col min="1" max="1" width="6.140625" customWidth="1"/>
    <col min="2" max="2" width="20.140625" bestFit="1" customWidth="1"/>
    <col min="3" max="3" width="39.140625" bestFit="1" customWidth="1"/>
    <col min="4" max="4" width="19.7109375" bestFit="1" customWidth="1"/>
    <col min="5" max="5" width="18.140625" customWidth="1"/>
    <col min="6" max="6" width="18.7109375" customWidth="1"/>
    <col min="7" max="8" width="12.5703125" customWidth="1"/>
    <col min="9" max="9" width="21.85546875" bestFit="1" customWidth="1"/>
    <col min="10" max="10" width="17" bestFit="1" customWidth="1"/>
    <col min="11" max="11" width="18.5703125" style="31" customWidth="1"/>
    <col min="12" max="12" width="29.5703125" bestFit="1" customWidth="1"/>
    <col min="13" max="14" width="7.7109375" customWidth="1"/>
    <col min="15" max="15" width="16.42578125" customWidth="1"/>
  </cols>
  <sheetData>
    <row r="1" spans="1:15" x14ac:dyDescent="0.25">
      <c r="A1" s="17"/>
      <c r="C1" s="17"/>
      <c r="F1" t="s">
        <v>53</v>
      </c>
    </row>
    <row r="2" spans="1:15" x14ac:dyDescent="0.25">
      <c r="A2" s="7" t="s">
        <v>0</v>
      </c>
      <c r="B2" s="7" t="s">
        <v>9</v>
      </c>
      <c r="C2" s="7" t="s">
        <v>1</v>
      </c>
      <c r="D2" s="7" t="s">
        <v>2</v>
      </c>
      <c r="E2" s="7" t="s">
        <v>61</v>
      </c>
      <c r="F2" s="7" t="s">
        <v>10</v>
      </c>
      <c r="G2" s="7" t="s">
        <v>3</v>
      </c>
      <c r="H2" s="7" t="s">
        <v>4</v>
      </c>
      <c r="I2" s="7" t="s">
        <v>5</v>
      </c>
      <c r="J2" s="7" t="s">
        <v>6</v>
      </c>
      <c r="K2" s="7" t="s">
        <v>179</v>
      </c>
      <c r="L2" s="7" t="s">
        <v>7</v>
      </c>
      <c r="M2" s="7" t="s">
        <v>11</v>
      </c>
      <c r="N2" s="7" t="s">
        <v>12</v>
      </c>
      <c r="O2" s="7" t="s">
        <v>8</v>
      </c>
    </row>
    <row r="3" spans="1:15" x14ac:dyDescent="0.25">
      <c r="A3" s="6">
        <v>1</v>
      </c>
      <c r="B3" s="1" t="s">
        <v>13</v>
      </c>
      <c r="C3" s="4" t="s">
        <v>156</v>
      </c>
      <c r="D3" s="19" t="str">
        <f>VLOOKUP(LEFT(C3,5),Master_Data!$A$8:$C$12,2,0)</f>
        <v>Satu Angkasa Air</v>
      </c>
      <c r="E3" s="19" t="str">
        <f>VLOOKUP(LEFT(C3,5),Master_Data!$A$8:$C$12,3,0)</f>
        <v>LCC</v>
      </c>
      <c r="F3" s="19" t="str">
        <f>IF(MID(C3,7,2)="BN","Bisnis",IF(MID(C3,7,2)="EK","Ekonomi","Premium Ekonomi"))</f>
        <v>Bisnis</v>
      </c>
      <c r="G3" s="19" t="str">
        <f>VLOOKUP(MID(C3,21,3),Master_Data!$A$16:$B$24,2,0)</f>
        <v>Medan</v>
      </c>
      <c r="H3" s="19" t="str">
        <f>VLOOKUP(MID(C3,25,3),Master_Data!$A$16:$B$24,2,0)</f>
        <v>Aceh</v>
      </c>
      <c r="I3" s="14">
        <f>DATEVALUE(MID(C3,10,10))</f>
        <v>45802</v>
      </c>
      <c r="J3" s="15">
        <v>0.71527777777777779</v>
      </c>
      <c r="K3" s="20">
        <f>VLOOKUP(D3,Master_Data!$B$8:$E$12,4,0)</f>
        <v>1</v>
      </c>
      <c r="L3" s="16">
        <f>I3+J3+(K3/24)</f>
        <v>45802.756944444445</v>
      </c>
      <c r="M3" s="13" t="str">
        <f>RIGHT(C3,2)</f>
        <v>A3</v>
      </c>
      <c r="N3" s="6" t="s">
        <v>77</v>
      </c>
      <c r="O3" s="10">
        <f>VLOOKUP(D3,Master_Data!$B$8:$H$12,IF(Airline_Booking!F3="Ekonomi",5,IF(Airline_Booking!F3="Bisnis",6,7)),0)</f>
        <v>900000</v>
      </c>
    </row>
    <row r="4" spans="1:15" x14ac:dyDescent="0.25">
      <c r="A4" s="6">
        <v>2</v>
      </c>
      <c r="B4" s="1" t="s">
        <v>14</v>
      </c>
      <c r="C4" s="4" t="s">
        <v>157</v>
      </c>
      <c r="D4" s="19" t="str">
        <f>VLOOKUP(LEFT(C4,5),Master_Data!$A$8:$C$12,2,0)</f>
        <v>Satu Angkasa Air</v>
      </c>
      <c r="E4" s="19" t="str">
        <f>VLOOKUP(LEFT(C4,5),Master_Data!$A$8:$C$12,3,0)</f>
        <v>LCC</v>
      </c>
      <c r="F4" s="19" t="str">
        <f t="shared" ref="F4:F42" si="0">IF(MID(C4,7,2)="BN","Bisnis",IF(MID(C4,7,2)="EK","Ekonomi","Premium Ekonomi"))</f>
        <v>Premium Ekonomi</v>
      </c>
      <c r="G4" s="19" t="str">
        <f>VLOOKUP(MID(C4,21,3),Master_Data!$A$16:$B$24,2,0)</f>
        <v>Medan</v>
      </c>
      <c r="H4" s="19" t="str">
        <f>VLOOKUP(MID(C4,25,3),Master_Data!$A$16:$B$24,2,0)</f>
        <v>Aceh</v>
      </c>
      <c r="I4" s="14">
        <f t="shared" ref="I4:I42" si="1">DATEVALUE(MID(C4,10,10))</f>
        <v>45802</v>
      </c>
      <c r="J4" s="15">
        <v>0.34166666666666662</v>
      </c>
      <c r="K4" s="20">
        <f>VLOOKUP(D4,Master_Data!$B$8:$E$12,4,0)</f>
        <v>1</v>
      </c>
      <c r="L4" s="16">
        <f t="shared" ref="L4:L42" si="2">I4+J4+(K4/24)</f>
        <v>45802.383333333331</v>
      </c>
      <c r="M4" s="13" t="str">
        <f t="shared" ref="M4:M42" si="3">RIGHT(C4,2)</f>
        <v>A3</v>
      </c>
      <c r="N4" s="6" t="s">
        <v>78</v>
      </c>
      <c r="O4" s="10">
        <f>VLOOKUP(D4,Master_Data!$B$8:$H$12,IF(Airline_Booking!F4="Ekonomi",5,IF(Airline_Booking!F4="Bisnis",6,7)),0)</f>
        <v>700000</v>
      </c>
    </row>
    <row r="5" spans="1:15" x14ac:dyDescent="0.25">
      <c r="A5" s="6">
        <v>3</v>
      </c>
      <c r="B5" s="1" t="s">
        <v>15</v>
      </c>
      <c r="C5" s="4" t="s">
        <v>158</v>
      </c>
      <c r="D5" s="19" t="str">
        <f>VLOOKUP(LEFT(C5,5),Master_Data!$A$8:$C$12,2,0)</f>
        <v>Aero Citra Air</v>
      </c>
      <c r="E5" s="19" t="str">
        <f>VLOOKUP(LEFT(C5,5),Master_Data!$A$8:$C$12,3,0)</f>
        <v>Regional/Charter</v>
      </c>
      <c r="F5" s="19" t="str">
        <f t="shared" si="0"/>
        <v>Premium Ekonomi</v>
      </c>
      <c r="G5" s="19" t="str">
        <f>VLOOKUP(MID(C5,21,3),Master_Data!$A$16:$B$24,2,0)</f>
        <v>Kupang</v>
      </c>
      <c r="H5" s="19" t="str">
        <f>VLOOKUP(MID(C5,25,3),Master_Data!$A$16:$B$24,2,0)</f>
        <v>Maumere</v>
      </c>
      <c r="I5" s="14">
        <f t="shared" si="1"/>
        <v>45803</v>
      </c>
      <c r="J5" s="15">
        <v>0.95138888888888884</v>
      </c>
      <c r="K5" s="20">
        <f>VLOOKUP(D5,Master_Data!$B$8:$E$12,4,0)</f>
        <v>1.5</v>
      </c>
      <c r="L5" s="16">
        <f t="shared" si="2"/>
        <v>45804.013888888891</v>
      </c>
      <c r="M5" s="13" t="str">
        <f t="shared" si="3"/>
        <v>C1</v>
      </c>
      <c r="N5" s="6" t="s">
        <v>76</v>
      </c>
      <c r="O5" s="10">
        <f>VLOOKUP(D5,Master_Data!$B$8:$H$12,IF(Airline_Booking!F5="Ekonomi",5,IF(Airline_Booking!F5="Bisnis",6,7)),0)</f>
        <v>950000</v>
      </c>
    </row>
    <row r="6" spans="1:15" x14ac:dyDescent="0.25">
      <c r="A6" s="6">
        <v>4</v>
      </c>
      <c r="B6" s="1" t="s">
        <v>16</v>
      </c>
      <c r="C6" s="4" t="s">
        <v>159</v>
      </c>
      <c r="D6" s="19" t="str">
        <f>VLOOKUP(LEFT(C6,5),Master_Data!$A$8:$C$12,2,0)</f>
        <v>Sky Nusantara Air</v>
      </c>
      <c r="E6" s="19" t="str">
        <f>VLOOKUP(LEFT(C6,5),Master_Data!$A$8:$C$12,3,0)</f>
        <v>Full-Service</v>
      </c>
      <c r="F6" s="19" t="str">
        <f t="shared" si="0"/>
        <v>Ekonomi</v>
      </c>
      <c r="G6" s="19" t="str">
        <f>VLOOKUP(MID(C6,21,3),Master_Data!$A$16:$B$24,2,0)</f>
        <v>Jakarta</v>
      </c>
      <c r="H6" s="19" t="str">
        <f>VLOOKUP(MID(C6,25,3),Master_Data!$A$16:$B$24,2,0)</f>
        <v>Surabaya</v>
      </c>
      <c r="I6" s="14">
        <f t="shared" si="1"/>
        <v>45804</v>
      </c>
      <c r="J6" s="15">
        <v>0.20208333333333331</v>
      </c>
      <c r="K6" s="20">
        <f>VLOOKUP(D6,Master_Data!$B$8:$E$12,4,0)</f>
        <v>1.5</v>
      </c>
      <c r="L6" s="16">
        <f t="shared" si="2"/>
        <v>45804.26458333333</v>
      </c>
      <c r="M6" s="13" t="str">
        <f t="shared" si="3"/>
        <v>A5</v>
      </c>
      <c r="N6" s="6" t="s">
        <v>79</v>
      </c>
      <c r="O6" s="10">
        <f>VLOOKUP(D6,Master_Data!$B$8:$H$12,IF(Airline_Booking!F6="Ekonomi",5,IF(Airline_Booking!F6="Bisnis",6,7)),0)</f>
        <v>1200000</v>
      </c>
    </row>
    <row r="7" spans="1:15" x14ac:dyDescent="0.25">
      <c r="A7" s="6">
        <v>5</v>
      </c>
      <c r="B7" s="1" t="s">
        <v>17</v>
      </c>
      <c r="C7" s="4" t="s">
        <v>159</v>
      </c>
      <c r="D7" s="19" t="str">
        <f>VLOOKUP(LEFT(C7,5),Master_Data!$A$8:$C$12,2,0)</f>
        <v>Sky Nusantara Air</v>
      </c>
      <c r="E7" s="19" t="str">
        <f>VLOOKUP(LEFT(C7,5),Master_Data!$A$8:$C$12,3,0)</f>
        <v>Full-Service</v>
      </c>
      <c r="F7" s="19" t="str">
        <f t="shared" si="0"/>
        <v>Ekonomi</v>
      </c>
      <c r="G7" s="19" t="str">
        <f>VLOOKUP(MID(C7,21,3),Master_Data!$A$16:$B$24,2,0)</f>
        <v>Jakarta</v>
      </c>
      <c r="H7" s="19" t="str">
        <f>VLOOKUP(MID(C7,25,3),Master_Data!$A$16:$B$24,2,0)</f>
        <v>Surabaya</v>
      </c>
      <c r="I7" s="14">
        <f t="shared" si="1"/>
        <v>45804</v>
      </c>
      <c r="J7" s="15">
        <v>0.71805555555555556</v>
      </c>
      <c r="K7" s="20">
        <f>VLOOKUP(D7,Master_Data!$B$8:$E$12,4,0)</f>
        <v>1.5</v>
      </c>
      <c r="L7" s="16">
        <f t="shared" si="2"/>
        <v>45804.780555555553</v>
      </c>
      <c r="M7" s="13" t="str">
        <f t="shared" si="3"/>
        <v>A5</v>
      </c>
      <c r="N7" s="6" t="s">
        <v>80</v>
      </c>
      <c r="O7" s="10">
        <f>VLOOKUP(D7,Master_Data!$B$8:$H$12,IF(Airline_Booking!F7="Ekonomi",5,IF(Airline_Booking!F7="Bisnis",6,7)),0)</f>
        <v>1200000</v>
      </c>
    </row>
    <row r="8" spans="1:15" x14ac:dyDescent="0.25">
      <c r="A8" s="6">
        <v>6</v>
      </c>
      <c r="B8" s="1" t="s">
        <v>18</v>
      </c>
      <c r="C8" s="4" t="s">
        <v>160</v>
      </c>
      <c r="D8" s="19" t="str">
        <f>VLOOKUP(LEFT(C8,5),Master_Data!$A$8:$C$12,2,0)</f>
        <v>Cakrawala Air</v>
      </c>
      <c r="E8" s="19" t="str">
        <f>VLOOKUP(LEFT(C8,5),Master_Data!$A$8:$C$12,3,0)</f>
        <v>LCC</v>
      </c>
      <c r="F8" s="19" t="str">
        <f t="shared" si="0"/>
        <v>Bisnis</v>
      </c>
      <c r="G8" s="19" t="str">
        <f>VLOOKUP(MID(C8,21,3),Master_Data!$A$16:$B$24,2,0)</f>
        <v>Yogyakarta</v>
      </c>
      <c r="H8" s="19" t="str">
        <f>VLOOKUP(MID(C8,25,3),Master_Data!$A$16:$B$24,2,0)</f>
        <v>Makassar</v>
      </c>
      <c r="I8" s="14">
        <f t="shared" si="1"/>
        <v>45805</v>
      </c>
      <c r="J8" s="15">
        <v>0.7104166666666667</v>
      </c>
      <c r="K8" s="20">
        <f>VLOOKUP(D8,Master_Data!$B$8:$E$12,4,0)</f>
        <v>2</v>
      </c>
      <c r="L8" s="16">
        <f t="shared" si="2"/>
        <v>45805.793750000004</v>
      </c>
      <c r="M8" s="13" t="str">
        <f t="shared" si="3"/>
        <v>B2</v>
      </c>
      <c r="N8" s="6" t="s">
        <v>81</v>
      </c>
      <c r="O8" s="10">
        <f>VLOOKUP(D8,Master_Data!$B$8:$H$12,IF(Airline_Booking!F8="Ekonomi",5,IF(Airline_Booking!F8="Bisnis",6,7)),0)</f>
        <v>2000000</v>
      </c>
    </row>
    <row r="9" spans="1:15" x14ac:dyDescent="0.25">
      <c r="A9" s="6">
        <v>7</v>
      </c>
      <c r="B9" s="1" t="s">
        <v>19</v>
      </c>
      <c r="C9" s="4" t="s">
        <v>161</v>
      </c>
      <c r="D9" s="19" t="str">
        <f>VLOOKUP(LEFT(C9,5),Master_Data!$A$8:$C$12,2,0)</f>
        <v>Mega Nusantara Air</v>
      </c>
      <c r="E9" s="19" t="str">
        <f>VLOOKUP(LEFT(C9,5),Master_Data!$A$8:$C$12,3,0)</f>
        <v>Full-Service</v>
      </c>
      <c r="F9" s="19" t="str">
        <f t="shared" si="0"/>
        <v>Ekonomi</v>
      </c>
      <c r="G9" s="19" t="str">
        <f>VLOOKUP(MID(C9,21,3),Master_Data!$A$16:$B$24,2,0)</f>
        <v>Jakarta</v>
      </c>
      <c r="H9" s="19" t="str">
        <f>VLOOKUP(MID(C9,25,3),Master_Data!$A$16:$B$24,2,0)</f>
        <v>Bali</v>
      </c>
      <c r="I9" s="14">
        <f t="shared" si="1"/>
        <v>45806</v>
      </c>
      <c r="J9" s="15">
        <v>0.75138888888888899</v>
      </c>
      <c r="K9" s="20">
        <f>VLOOKUP(D9,Master_Data!$B$8:$E$12,4,0)</f>
        <v>1.5</v>
      </c>
      <c r="L9" s="16">
        <f t="shared" si="2"/>
        <v>45806.813888888886</v>
      </c>
      <c r="M9" s="13" t="str">
        <f t="shared" si="3"/>
        <v>B5</v>
      </c>
      <c r="N9" s="6" t="s">
        <v>82</v>
      </c>
      <c r="O9" s="10">
        <f>VLOOKUP(D9,Master_Data!$B$8:$H$12,IF(Airline_Booking!F9="Ekonomi",5,IF(Airline_Booking!F9="Bisnis",6,7)),0)</f>
        <v>1500000</v>
      </c>
    </row>
    <row r="10" spans="1:15" x14ac:dyDescent="0.25">
      <c r="A10" s="6">
        <v>8</v>
      </c>
      <c r="B10" s="1" t="s">
        <v>20</v>
      </c>
      <c r="C10" s="4" t="s">
        <v>162</v>
      </c>
      <c r="D10" s="19" t="str">
        <f>VLOOKUP(LEFT(C10,5),Master_Data!$A$8:$C$12,2,0)</f>
        <v>Mega Nusantara Air</v>
      </c>
      <c r="E10" s="19" t="str">
        <f>VLOOKUP(LEFT(C10,5),Master_Data!$A$8:$C$12,3,0)</f>
        <v>Full-Service</v>
      </c>
      <c r="F10" s="19" t="str">
        <f t="shared" si="0"/>
        <v>Ekonomi</v>
      </c>
      <c r="G10" s="19" t="str">
        <f>VLOOKUP(MID(C10,21,3),Master_Data!$A$16:$B$24,2,0)</f>
        <v>Jakarta</v>
      </c>
      <c r="H10" s="19" t="str">
        <f>VLOOKUP(MID(C10,25,3),Master_Data!$A$16:$B$24,2,0)</f>
        <v>Bali</v>
      </c>
      <c r="I10" s="14">
        <f t="shared" si="1"/>
        <v>45807</v>
      </c>
      <c r="J10" s="15">
        <v>0.47638888888888892</v>
      </c>
      <c r="K10" s="20">
        <f>VLOOKUP(D10,Master_Data!$B$8:$E$12,4,0)</f>
        <v>1.5</v>
      </c>
      <c r="L10" s="16">
        <f t="shared" si="2"/>
        <v>45807.538888888892</v>
      </c>
      <c r="M10" s="13" t="str">
        <f t="shared" si="3"/>
        <v>B5</v>
      </c>
      <c r="N10" s="6" t="s">
        <v>83</v>
      </c>
      <c r="O10" s="10">
        <f>VLOOKUP(D10,Master_Data!$B$8:$H$12,IF(Airline_Booking!F10="Ekonomi",5,IF(Airline_Booking!F10="Bisnis",6,7)),0)</f>
        <v>1500000</v>
      </c>
    </row>
    <row r="11" spans="1:15" x14ac:dyDescent="0.25">
      <c r="A11" s="6">
        <v>9</v>
      </c>
      <c r="B11" s="1" t="s">
        <v>21</v>
      </c>
      <c r="C11" s="4" t="s">
        <v>163</v>
      </c>
      <c r="D11" s="19" t="str">
        <f>VLOOKUP(LEFT(C11,5),Master_Data!$A$8:$C$12,2,0)</f>
        <v>Aero Citra Air</v>
      </c>
      <c r="E11" s="19" t="str">
        <f>VLOOKUP(LEFT(C11,5),Master_Data!$A$8:$C$12,3,0)</f>
        <v>Regional/Charter</v>
      </c>
      <c r="F11" s="19" t="str">
        <f t="shared" si="0"/>
        <v>Premium Ekonomi</v>
      </c>
      <c r="G11" s="19" t="str">
        <f>VLOOKUP(MID(C11,21,3),Master_Data!$A$16:$B$24,2,0)</f>
        <v>Kupang</v>
      </c>
      <c r="H11" s="19" t="str">
        <f>VLOOKUP(MID(C11,25,3),Master_Data!$A$16:$B$24,2,0)</f>
        <v>Maumere</v>
      </c>
      <c r="I11" s="14">
        <f t="shared" si="1"/>
        <v>45807</v>
      </c>
      <c r="J11" s="15">
        <v>0.44375000000000003</v>
      </c>
      <c r="K11" s="20">
        <f>VLOOKUP(D11,Master_Data!$B$8:$E$12,4,0)</f>
        <v>1.5</v>
      </c>
      <c r="L11" s="16">
        <f t="shared" si="2"/>
        <v>45807.506249999999</v>
      </c>
      <c r="M11" s="13" t="str">
        <f t="shared" si="3"/>
        <v>C1</v>
      </c>
      <c r="N11" s="6" t="s">
        <v>84</v>
      </c>
      <c r="O11" s="10">
        <f>VLOOKUP(D11,Master_Data!$B$8:$H$12,IF(Airline_Booking!F11="Ekonomi",5,IF(Airline_Booking!F11="Bisnis",6,7)),0)</f>
        <v>950000</v>
      </c>
    </row>
    <row r="12" spans="1:15" x14ac:dyDescent="0.25">
      <c r="A12" s="6">
        <v>10</v>
      </c>
      <c r="B12" s="1" t="s">
        <v>22</v>
      </c>
      <c r="C12" s="4" t="s">
        <v>164</v>
      </c>
      <c r="D12" s="19" t="str">
        <f>VLOOKUP(LEFT(C12,5),Master_Data!$A$8:$C$12,2,0)</f>
        <v>Aero Citra Air</v>
      </c>
      <c r="E12" s="19" t="str">
        <f>VLOOKUP(LEFT(C12,5),Master_Data!$A$8:$C$12,3,0)</f>
        <v>Regional/Charter</v>
      </c>
      <c r="F12" s="19" t="str">
        <f t="shared" si="0"/>
        <v>Ekonomi</v>
      </c>
      <c r="G12" s="19" t="str">
        <f>VLOOKUP(MID(C12,21,3),Master_Data!$A$16:$B$24,2,0)</f>
        <v>Kupang</v>
      </c>
      <c r="H12" s="19" t="str">
        <f>VLOOKUP(MID(C12,25,3),Master_Data!$A$16:$B$24,2,0)</f>
        <v>Maumere</v>
      </c>
      <c r="I12" s="14">
        <f t="shared" si="1"/>
        <v>45808</v>
      </c>
      <c r="J12" s="15">
        <v>0.35138888888888892</v>
      </c>
      <c r="K12" s="20">
        <f>VLOOKUP(D12,Master_Data!$B$8:$E$12,4,0)</f>
        <v>1.5</v>
      </c>
      <c r="L12" s="16">
        <f t="shared" si="2"/>
        <v>45808.413888888892</v>
      </c>
      <c r="M12" s="13" t="str">
        <f t="shared" si="3"/>
        <v>C1</v>
      </c>
      <c r="N12" s="6" t="s">
        <v>85</v>
      </c>
      <c r="O12" s="10">
        <f>VLOOKUP(D12,Master_Data!$B$8:$H$12,IF(Airline_Booking!F12="Ekonomi",5,IF(Airline_Booking!F12="Bisnis",6,7)),0)</f>
        <v>750000</v>
      </c>
    </row>
    <row r="13" spans="1:15" x14ac:dyDescent="0.25">
      <c r="A13" s="6">
        <v>11</v>
      </c>
      <c r="B13" s="1" t="s">
        <v>23</v>
      </c>
      <c r="C13" s="4" t="s">
        <v>165</v>
      </c>
      <c r="D13" s="19" t="str">
        <f>VLOOKUP(LEFT(C13,5),Master_Data!$A$8:$C$12,2,0)</f>
        <v>Mega Nusantara Air</v>
      </c>
      <c r="E13" s="19" t="str">
        <f>VLOOKUP(LEFT(C13,5),Master_Data!$A$8:$C$12,3,0)</f>
        <v>Full-Service</v>
      </c>
      <c r="F13" s="19" t="str">
        <f t="shared" si="0"/>
        <v>Premium Ekonomi</v>
      </c>
      <c r="G13" s="19" t="str">
        <f>VLOOKUP(MID(C13,21,3),Master_Data!$A$16:$B$24,2,0)</f>
        <v>Jakarta</v>
      </c>
      <c r="H13" s="19" t="str">
        <f>VLOOKUP(MID(C13,25,3),Master_Data!$A$16:$B$24,2,0)</f>
        <v>Bali</v>
      </c>
      <c r="I13" s="14">
        <f t="shared" si="1"/>
        <v>45808</v>
      </c>
      <c r="J13" s="15">
        <v>0.98611111111111116</v>
      </c>
      <c r="K13" s="20">
        <f>VLOOKUP(D13,Master_Data!$B$8:$E$12,4,0)</f>
        <v>1.5</v>
      </c>
      <c r="L13" s="16">
        <f t="shared" si="2"/>
        <v>45809.048611111109</v>
      </c>
      <c r="M13" s="13" t="str">
        <f t="shared" si="3"/>
        <v>B5</v>
      </c>
      <c r="N13" s="6" t="s">
        <v>86</v>
      </c>
      <c r="O13" s="10">
        <f>VLOOKUP(D13,Master_Data!$B$8:$H$12,IF(Airline_Booking!F13="Ekonomi",5,IF(Airline_Booking!F13="Bisnis",6,7)),0)</f>
        <v>1900000</v>
      </c>
    </row>
    <row r="14" spans="1:15" x14ac:dyDescent="0.25">
      <c r="A14" s="6">
        <v>12</v>
      </c>
      <c r="B14" s="1" t="s">
        <v>24</v>
      </c>
      <c r="C14" s="4" t="s">
        <v>166</v>
      </c>
      <c r="D14" s="19" t="str">
        <f>VLOOKUP(LEFT(C14,5),Master_Data!$A$8:$C$12,2,0)</f>
        <v>Sky Nusantara Air</v>
      </c>
      <c r="E14" s="19" t="str">
        <f>VLOOKUP(LEFT(C14,5),Master_Data!$A$8:$C$12,3,0)</f>
        <v>Full-Service</v>
      </c>
      <c r="F14" s="19" t="str">
        <f t="shared" si="0"/>
        <v>Ekonomi</v>
      </c>
      <c r="G14" s="19" t="str">
        <f>VLOOKUP(MID(C14,21,3),Master_Data!$A$16:$B$24,2,0)</f>
        <v>Jakarta</v>
      </c>
      <c r="H14" s="19" t="str">
        <f>VLOOKUP(MID(C14,25,3),Master_Data!$A$16:$B$24,2,0)</f>
        <v>Surabaya</v>
      </c>
      <c r="I14" s="14">
        <f t="shared" si="1"/>
        <v>45808</v>
      </c>
      <c r="J14" s="15">
        <v>0.13958333333333334</v>
      </c>
      <c r="K14" s="20">
        <f>VLOOKUP(D14,Master_Data!$B$8:$E$12,4,0)</f>
        <v>1.5</v>
      </c>
      <c r="L14" s="16">
        <f t="shared" si="2"/>
        <v>45808.20208333333</v>
      </c>
      <c r="M14" s="13" t="str">
        <f t="shared" si="3"/>
        <v>A3</v>
      </c>
      <c r="N14" s="6" t="s">
        <v>87</v>
      </c>
      <c r="O14" s="10">
        <f>VLOOKUP(D14,Master_Data!$B$8:$H$12,IF(Airline_Booking!F14="Ekonomi",5,IF(Airline_Booking!F14="Bisnis",6,7)),0)</f>
        <v>1200000</v>
      </c>
    </row>
    <row r="15" spans="1:15" x14ac:dyDescent="0.25">
      <c r="A15" s="6">
        <v>13</v>
      </c>
      <c r="B15" s="1" t="s">
        <v>25</v>
      </c>
      <c r="C15" s="4" t="s">
        <v>167</v>
      </c>
      <c r="D15" s="19" t="str">
        <f>VLOOKUP(LEFT(C15,5),Master_Data!$A$8:$C$12,2,0)</f>
        <v>Satu Angkasa Air</v>
      </c>
      <c r="E15" s="19" t="str">
        <f>VLOOKUP(LEFT(C15,5),Master_Data!$A$8:$C$12,3,0)</f>
        <v>LCC</v>
      </c>
      <c r="F15" s="19" t="str">
        <f t="shared" si="0"/>
        <v>Ekonomi</v>
      </c>
      <c r="G15" s="19" t="str">
        <f>VLOOKUP(MID(C15,21,3),Master_Data!$A$16:$B$24,2,0)</f>
        <v>Medan</v>
      </c>
      <c r="H15" s="19" t="str">
        <f>VLOOKUP(MID(C15,25,3),Master_Data!$A$16:$B$24,2,0)</f>
        <v>Aceh</v>
      </c>
      <c r="I15" s="14">
        <f t="shared" si="1"/>
        <v>45809</v>
      </c>
      <c r="J15" s="15">
        <v>0.93263888888888891</v>
      </c>
      <c r="K15" s="20">
        <f>VLOOKUP(D15,Master_Data!$B$8:$E$12,4,0)</f>
        <v>1</v>
      </c>
      <c r="L15" s="16">
        <f t="shared" si="2"/>
        <v>45809.974305555552</v>
      </c>
      <c r="M15" s="13" t="str">
        <f t="shared" si="3"/>
        <v>A5</v>
      </c>
      <c r="N15" s="6" t="s">
        <v>88</v>
      </c>
      <c r="O15" s="10">
        <f>VLOOKUP(D15,Master_Data!$B$8:$H$12,IF(Airline_Booking!F15="Ekonomi",5,IF(Airline_Booking!F15="Bisnis",6,7)),0)</f>
        <v>550000</v>
      </c>
    </row>
    <row r="16" spans="1:15" x14ac:dyDescent="0.25">
      <c r="A16" s="6">
        <v>14</v>
      </c>
      <c r="B16" s="1" t="s">
        <v>26</v>
      </c>
      <c r="C16" s="4" t="s">
        <v>168</v>
      </c>
      <c r="D16" s="19" t="str">
        <f>VLOOKUP(LEFT(C16,5),Master_Data!$A$8:$C$12,2,0)</f>
        <v>Sky Nusantara Air</v>
      </c>
      <c r="E16" s="19" t="str">
        <f>VLOOKUP(LEFT(C16,5),Master_Data!$A$8:$C$12,3,0)</f>
        <v>Full-Service</v>
      </c>
      <c r="F16" s="19" t="str">
        <f t="shared" si="0"/>
        <v>Ekonomi</v>
      </c>
      <c r="G16" s="19" t="str">
        <f>VLOOKUP(MID(C16,21,3),Master_Data!$A$16:$B$24,2,0)</f>
        <v>Jakarta</v>
      </c>
      <c r="H16" s="19" t="str">
        <f>VLOOKUP(MID(C16,25,3),Master_Data!$A$16:$B$24,2,0)</f>
        <v>Surabaya</v>
      </c>
      <c r="I16" s="14">
        <f t="shared" si="1"/>
        <v>45813</v>
      </c>
      <c r="J16" s="15">
        <v>9.2361111111111116E-2</v>
      </c>
      <c r="K16" s="20">
        <f>VLOOKUP(D16,Master_Data!$B$8:$E$12,4,0)</f>
        <v>1.5</v>
      </c>
      <c r="L16" s="16">
        <f t="shared" si="2"/>
        <v>45813.154861111114</v>
      </c>
      <c r="M16" s="13" t="str">
        <f t="shared" si="3"/>
        <v>B2</v>
      </c>
      <c r="N16" s="6" t="s">
        <v>89</v>
      </c>
      <c r="O16" s="10">
        <f>VLOOKUP(D16,Master_Data!$B$8:$H$12,IF(Airline_Booking!F16="Ekonomi",5,IF(Airline_Booking!F16="Bisnis",6,7)),0)</f>
        <v>1200000</v>
      </c>
    </row>
    <row r="17" spans="1:15" x14ac:dyDescent="0.25">
      <c r="A17" s="6">
        <v>15</v>
      </c>
      <c r="B17" s="1" t="s">
        <v>27</v>
      </c>
      <c r="C17" s="4" t="s">
        <v>169</v>
      </c>
      <c r="D17" s="19" t="str">
        <f>VLOOKUP(LEFT(C17,5),Master_Data!$A$8:$C$12,2,0)</f>
        <v>Cakrawala Air</v>
      </c>
      <c r="E17" s="19" t="str">
        <f>VLOOKUP(LEFT(C17,5),Master_Data!$A$8:$C$12,3,0)</f>
        <v>LCC</v>
      </c>
      <c r="F17" s="19" t="str">
        <f t="shared" si="0"/>
        <v>Bisnis</v>
      </c>
      <c r="G17" s="19" t="str">
        <f>VLOOKUP(MID(C17,21,3),Master_Data!$A$16:$B$24,2,0)</f>
        <v>Yogyakarta</v>
      </c>
      <c r="H17" s="19" t="str">
        <f>VLOOKUP(MID(C17,25,3),Master_Data!$A$16:$B$24,2,0)</f>
        <v>Makassar</v>
      </c>
      <c r="I17" s="14">
        <f t="shared" si="1"/>
        <v>45815</v>
      </c>
      <c r="J17" s="15">
        <v>0.72152777777777777</v>
      </c>
      <c r="K17" s="20">
        <f>VLOOKUP(D17,Master_Data!$B$8:$E$12,4,0)</f>
        <v>2</v>
      </c>
      <c r="L17" s="16">
        <f t="shared" si="2"/>
        <v>45815.804861111115</v>
      </c>
      <c r="M17" s="13" t="str">
        <f t="shared" si="3"/>
        <v>C1</v>
      </c>
      <c r="N17" s="6" t="s">
        <v>90</v>
      </c>
      <c r="O17" s="10">
        <f>VLOOKUP(D17,Master_Data!$B$8:$H$12,IF(Airline_Booking!F17="Ekonomi",5,IF(Airline_Booking!F17="Bisnis",6,7)),0)</f>
        <v>2000000</v>
      </c>
    </row>
    <row r="18" spans="1:15" x14ac:dyDescent="0.25">
      <c r="A18" s="6">
        <v>16</v>
      </c>
      <c r="B18" s="1" t="s">
        <v>28</v>
      </c>
      <c r="C18" s="4" t="s">
        <v>170</v>
      </c>
      <c r="D18" s="19" t="str">
        <f>VLOOKUP(LEFT(C18,5),Master_Data!$A$8:$C$12,2,0)</f>
        <v>Aero Citra Air</v>
      </c>
      <c r="E18" s="19" t="str">
        <f>VLOOKUP(LEFT(C18,5),Master_Data!$A$8:$C$12,3,0)</f>
        <v>Regional/Charter</v>
      </c>
      <c r="F18" s="19" t="str">
        <f t="shared" si="0"/>
        <v>Premium Ekonomi</v>
      </c>
      <c r="G18" s="19" t="str">
        <f>VLOOKUP(MID(C18,21,3),Master_Data!$A$16:$B$24,2,0)</f>
        <v>Kupang</v>
      </c>
      <c r="H18" s="19" t="str">
        <f>VLOOKUP(MID(C18,25,3),Master_Data!$A$16:$B$24,2,0)</f>
        <v>Maumere</v>
      </c>
      <c r="I18" s="14">
        <f t="shared" si="1"/>
        <v>45815</v>
      </c>
      <c r="J18" s="15">
        <v>0.35902777777777778</v>
      </c>
      <c r="K18" s="20">
        <f>VLOOKUP(D18,Master_Data!$B$8:$E$12,4,0)</f>
        <v>1.5</v>
      </c>
      <c r="L18" s="16">
        <f t="shared" si="2"/>
        <v>45815.421527777777</v>
      </c>
      <c r="M18" s="13" t="str">
        <f t="shared" si="3"/>
        <v>A5</v>
      </c>
      <c r="N18" s="6" t="s">
        <v>91</v>
      </c>
      <c r="O18" s="10">
        <f>VLOOKUP(D18,Master_Data!$B$8:$H$12,IF(Airline_Booking!F18="Ekonomi",5,IF(Airline_Booking!F18="Bisnis",6,7)),0)</f>
        <v>950000</v>
      </c>
    </row>
    <row r="19" spans="1:15" x14ac:dyDescent="0.25">
      <c r="A19" s="6">
        <v>17</v>
      </c>
      <c r="B19" s="1" t="s">
        <v>29</v>
      </c>
      <c r="C19" s="4" t="s">
        <v>108</v>
      </c>
      <c r="D19" s="19" t="str">
        <f>VLOOKUP(LEFT(C19,5),Master_Data!$A$8:$C$12,2,0)</f>
        <v>Sky Nusantara Air</v>
      </c>
      <c r="E19" s="19" t="str">
        <f>VLOOKUP(LEFT(C19,5),Master_Data!$A$8:$C$12,3,0)</f>
        <v>Full-Service</v>
      </c>
      <c r="F19" s="19" t="str">
        <f t="shared" si="0"/>
        <v>Ekonomi</v>
      </c>
      <c r="G19" s="19" t="str">
        <f>VLOOKUP(MID(C19,21,3),Master_Data!$A$16:$B$24,2,0)</f>
        <v>Jakarta</v>
      </c>
      <c r="H19" s="19" t="str">
        <f>VLOOKUP(MID(C19,25,3),Master_Data!$A$16:$B$24,2,0)</f>
        <v>Surabaya</v>
      </c>
      <c r="I19" s="14">
        <f t="shared" si="1"/>
        <v>45818</v>
      </c>
      <c r="J19" s="15">
        <v>0.7944444444444444</v>
      </c>
      <c r="K19" s="20">
        <f>VLOOKUP(D19,Master_Data!$B$8:$E$12,4,0)</f>
        <v>1.5</v>
      </c>
      <c r="L19" s="16">
        <f t="shared" si="2"/>
        <v>45818.856944444444</v>
      </c>
      <c r="M19" s="13" t="str">
        <f t="shared" si="3"/>
        <v>B5</v>
      </c>
      <c r="N19" s="6" t="s">
        <v>92</v>
      </c>
      <c r="O19" s="10">
        <f>VLOOKUP(D19,Master_Data!$B$8:$H$12,IF(Airline_Booking!F19="Ekonomi",5,IF(Airline_Booking!F19="Bisnis",6,7)),0)</f>
        <v>1200000</v>
      </c>
    </row>
    <row r="20" spans="1:15" x14ac:dyDescent="0.25">
      <c r="A20" s="6">
        <v>18</v>
      </c>
      <c r="B20" s="1" t="s">
        <v>30</v>
      </c>
      <c r="C20" s="4" t="s">
        <v>109</v>
      </c>
      <c r="D20" s="19" t="str">
        <f>VLOOKUP(LEFT(C20,5),Master_Data!$A$8:$C$12,2,0)</f>
        <v>Mega Nusantara Air</v>
      </c>
      <c r="E20" s="19" t="str">
        <f>VLOOKUP(LEFT(C20,5),Master_Data!$A$8:$C$12,3,0)</f>
        <v>Full-Service</v>
      </c>
      <c r="F20" s="19" t="str">
        <f t="shared" si="0"/>
        <v>Ekonomi</v>
      </c>
      <c r="G20" s="19" t="str">
        <f>VLOOKUP(MID(C20,21,3),Master_Data!$A$16:$B$24,2,0)</f>
        <v>Jakarta</v>
      </c>
      <c r="H20" s="19" t="str">
        <f>VLOOKUP(MID(C20,25,3),Master_Data!$A$16:$B$24,2,0)</f>
        <v>Bali</v>
      </c>
      <c r="I20" s="14">
        <f t="shared" si="1"/>
        <v>45819</v>
      </c>
      <c r="J20" s="15">
        <v>0.65694444444444444</v>
      </c>
      <c r="K20" s="20">
        <f>VLOOKUP(D20,Master_Data!$B$8:$E$12,4,0)</f>
        <v>1.5</v>
      </c>
      <c r="L20" s="16">
        <f t="shared" si="2"/>
        <v>45819.719444444447</v>
      </c>
      <c r="M20" s="13" t="str">
        <f t="shared" si="3"/>
        <v>A3</v>
      </c>
      <c r="N20" s="6" t="s">
        <v>93</v>
      </c>
      <c r="O20" s="10">
        <f>VLOOKUP(D20,Master_Data!$B$8:$H$12,IF(Airline_Booking!F20="Ekonomi",5,IF(Airline_Booking!F20="Bisnis",6,7)),0)</f>
        <v>1500000</v>
      </c>
    </row>
    <row r="21" spans="1:15" x14ac:dyDescent="0.25">
      <c r="A21" s="6">
        <v>19</v>
      </c>
      <c r="B21" s="1" t="s">
        <v>31</v>
      </c>
      <c r="C21" s="4" t="s">
        <v>171</v>
      </c>
      <c r="D21" s="19" t="str">
        <f>VLOOKUP(LEFT(C21,5),Master_Data!$A$8:$C$12,2,0)</f>
        <v>Satu Angkasa Air</v>
      </c>
      <c r="E21" s="19" t="str">
        <f>VLOOKUP(LEFT(C21,5),Master_Data!$A$8:$C$12,3,0)</f>
        <v>LCC</v>
      </c>
      <c r="F21" s="19" t="str">
        <f t="shared" si="0"/>
        <v>Ekonomi</v>
      </c>
      <c r="G21" s="19" t="str">
        <f>VLOOKUP(MID(C21,21,3),Master_Data!$A$16:$B$24,2,0)</f>
        <v>Medan</v>
      </c>
      <c r="H21" s="19" t="str">
        <f>VLOOKUP(MID(C21,25,3),Master_Data!$A$16:$B$24,2,0)</f>
        <v>Aceh</v>
      </c>
      <c r="I21" s="14">
        <f t="shared" si="1"/>
        <v>45820</v>
      </c>
      <c r="J21" s="15">
        <v>0.19166666666666665</v>
      </c>
      <c r="K21" s="20">
        <f>VLOOKUP(D21,Master_Data!$B$8:$E$12,4,0)</f>
        <v>1</v>
      </c>
      <c r="L21" s="16">
        <f t="shared" si="2"/>
        <v>45820.23333333333</v>
      </c>
      <c r="M21" s="13" t="str">
        <f t="shared" si="3"/>
        <v>A5</v>
      </c>
      <c r="N21" s="6" t="s">
        <v>94</v>
      </c>
      <c r="O21" s="10">
        <f>VLOOKUP(D21,Master_Data!$B$8:$H$12,IF(Airline_Booking!F21="Ekonomi",5,IF(Airline_Booking!F21="Bisnis",6,7)),0)</f>
        <v>550000</v>
      </c>
    </row>
    <row r="22" spans="1:15" x14ac:dyDescent="0.25">
      <c r="A22" s="6">
        <v>20</v>
      </c>
      <c r="B22" s="1" t="s">
        <v>32</v>
      </c>
      <c r="C22" s="4" t="s">
        <v>172</v>
      </c>
      <c r="D22" s="19" t="str">
        <f>VLOOKUP(LEFT(C22,5),Master_Data!$A$8:$C$12,2,0)</f>
        <v>Sky Nusantara Air</v>
      </c>
      <c r="E22" s="19" t="str">
        <f>VLOOKUP(LEFT(C22,5),Master_Data!$A$8:$C$12,3,0)</f>
        <v>Full-Service</v>
      </c>
      <c r="F22" s="19" t="str">
        <f t="shared" si="0"/>
        <v>Ekonomi</v>
      </c>
      <c r="G22" s="19" t="str">
        <f>VLOOKUP(MID(C22,21,3),Master_Data!$A$16:$B$24,2,0)</f>
        <v>Jakarta</v>
      </c>
      <c r="H22" s="19" t="str">
        <f>VLOOKUP(MID(C22,25,3),Master_Data!$A$16:$B$24,2,0)</f>
        <v>Surabaya</v>
      </c>
      <c r="I22" s="14">
        <f t="shared" si="1"/>
        <v>45821</v>
      </c>
      <c r="J22" s="15">
        <v>0.58958333333333335</v>
      </c>
      <c r="K22" s="20">
        <f>VLOOKUP(D22,Master_Data!$B$8:$E$12,4,0)</f>
        <v>1.5</v>
      </c>
      <c r="L22" s="16">
        <f t="shared" si="2"/>
        <v>45821.652083333334</v>
      </c>
      <c r="M22" s="13" t="str">
        <f t="shared" si="3"/>
        <v>B5</v>
      </c>
      <c r="N22" s="6" t="s">
        <v>92</v>
      </c>
      <c r="O22" s="10">
        <f>VLOOKUP(D22,Master_Data!$B$8:$H$12,IF(Airline_Booking!F22="Ekonomi",5,IF(Airline_Booking!F22="Bisnis",6,7)),0)</f>
        <v>1200000</v>
      </c>
    </row>
    <row r="23" spans="1:15" x14ac:dyDescent="0.25">
      <c r="A23" s="6">
        <v>21</v>
      </c>
      <c r="B23" s="1" t="s">
        <v>33</v>
      </c>
      <c r="C23" s="4" t="s">
        <v>111</v>
      </c>
      <c r="D23" s="19" t="str">
        <f>VLOOKUP(LEFT(C23,5),Master_Data!$A$8:$C$12,2,0)</f>
        <v>Mega Nusantara Air</v>
      </c>
      <c r="E23" s="19" t="str">
        <f>VLOOKUP(LEFT(C23,5),Master_Data!$A$8:$C$12,3,0)</f>
        <v>Full-Service</v>
      </c>
      <c r="F23" s="19" t="str">
        <f t="shared" si="0"/>
        <v>Bisnis</v>
      </c>
      <c r="G23" s="19" t="str">
        <f>VLOOKUP(MID(C23,21,3),Master_Data!$A$16:$B$24,2,0)</f>
        <v>Jakarta</v>
      </c>
      <c r="H23" s="19" t="str">
        <f>VLOOKUP(MID(C23,25,3),Master_Data!$A$16:$B$24,2,0)</f>
        <v>Bali</v>
      </c>
      <c r="I23" s="14">
        <f t="shared" si="1"/>
        <v>45820</v>
      </c>
      <c r="J23" s="15">
        <v>0.14097222222222222</v>
      </c>
      <c r="K23" s="20">
        <f>VLOOKUP(D23,Master_Data!$B$8:$E$12,4,0)</f>
        <v>1.5</v>
      </c>
      <c r="L23" s="16">
        <f t="shared" si="2"/>
        <v>45820.203472222223</v>
      </c>
      <c r="M23" s="13" t="str">
        <f t="shared" si="3"/>
        <v>B5</v>
      </c>
      <c r="N23" s="6" t="s">
        <v>88</v>
      </c>
      <c r="O23" s="10">
        <f>VLOOKUP(D23,Master_Data!$B$8:$H$12,IF(Airline_Booking!F23="Ekonomi",5,IF(Airline_Booking!F23="Bisnis",6,7)),0)</f>
        <v>2700000</v>
      </c>
    </row>
    <row r="24" spans="1:15" x14ac:dyDescent="0.25">
      <c r="A24" s="6">
        <v>22</v>
      </c>
      <c r="B24" s="1" t="s">
        <v>34</v>
      </c>
      <c r="C24" s="4" t="s">
        <v>110</v>
      </c>
      <c r="D24" s="19" t="str">
        <f>VLOOKUP(LEFT(C24,5),Master_Data!$A$8:$C$12,2,0)</f>
        <v>Cakrawala Air</v>
      </c>
      <c r="E24" s="19" t="str">
        <f>VLOOKUP(LEFT(C24,5),Master_Data!$A$8:$C$12,3,0)</f>
        <v>LCC</v>
      </c>
      <c r="F24" s="19" t="str">
        <f t="shared" si="0"/>
        <v>Bisnis</v>
      </c>
      <c r="G24" s="19" t="str">
        <f>VLOOKUP(MID(C24,21,3),Master_Data!$A$16:$B$24,2,0)</f>
        <v>Yogyakarta</v>
      </c>
      <c r="H24" s="19" t="str">
        <f>VLOOKUP(MID(C24,25,3),Master_Data!$A$16:$B$24,2,0)</f>
        <v>Makassar</v>
      </c>
      <c r="I24" s="14">
        <f t="shared" si="1"/>
        <v>45822</v>
      </c>
      <c r="J24" s="15">
        <v>0.68819444444444444</v>
      </c>
      <c r="K24" s="20">
        <f>VLOOKUP(D24,Master_Data!$B$8:$E$12,4,0)</f>
        <v>2</v>
      </c>
      <c r="L24" s="16">
        <f t="shared" si="2"/>
        <v>45822.771527777782</v>
      </c>
      <c r="M24" s="13" t="str">
        <f t="shared" si="3"/>
        <v>B2</v>
      </c>
      <c r="N24" s="6" t="s">
        <v>85</v>
      </c>
      <c r="O24" s="10">
        <f>VLOOKUP(D24,Master_Data!$B$8:$H$12,IF(Airline_Booking!F24="Ekonomi",5,IF(Airline_Booking!F24="Bisnis",6,7)),0)</f>
        <v>2000000</v>
      </c>
    </row>
    <row r="25" spans="1:15" x14ac:dyDescent="0.25">
      <c r="A25" s="6">
        <v>23</v>
      </c>
      <c r="B25" s="1" t="s">
        <v>35</v>
      </c>
      <c r="C25" s="4" t="s">
        <v>173</v>
      </c>
      <c r="D25" s="19" t="str">
        <f>VLOOKUP(LEFT(C25,5),Master_Data!$A$8:$C$12,2,0)</f>
        <v>Satu Angkasa Air</v>
      </c>
      <c r="E25" s="19" t="str">
        <f>VLOOKUP(LEFT(C25,5),Master_Data!$A$8:$C$12,3,0)</f>
        <v>LCC</v>
      </c>
      <c r="F25" s="19" t="str">
        <f t="shared" si="0"/>
        <v>Premium Ekonomi</v>
      </c>
      <c r="G25" s="19" t="str">
        <f>VLOOKUP(MID(C25,21,3),Master_Data!$A$16:$B$24,2,0)</f>
        <v>Medan</v>
      </c>
      <c r="H25" s="19" t="str">
        <f>VLOOKUP(MID(C25,25,3),Master_Data!$A$16:$B$24,2,0)</f>
        <v>Aceh</v>
      </c>
      <c r="I25" s="14">
        <f t="shared" si="1"/>
        <v>45823</v>
      </c>
      <c r="J25" s="15">
        <v>0.83819444444444446</v>
      </c>
      <c r="K25" s="20">
        <f>VLOOKUP(D25,Master_Data!$B$8:$E$12,4,0)</f>
        <v>1</v>
      </c>
      <c r="L25" s="16">
        <f t="shared" si="2"/>
        <v>45823.879861111105</v>
      </c>
      <c r="M25" s="13" t="str">
        <f t="shared" si="3"/>
        <v>A3</v>
      </c>
      <c r="N25" s="6" t="s">
        <v>95</v>
      </c>
      <c r="O25" s="10">
        <f>VLOOKUP(D25,Master_Data!$B$8:$H$12,IF(Airline_Booking!F25="Ekonomi",5,IF(Airline_Booking!F25="Bisnis",6,7)),0)</f>
        <v>700000</v>
      </c>
    </row>
    <row r="26" spans="1:15" x14ac:dyDescent="0.25">
      <c r="A26" s="6">
        <v>24</v>
      </c>
      <c r="B26" s="1" t="s">
        <v>36</v>
      </c>
      <c r="C26" s="4" t="s">
        <v>112</v>
      </c>
      <c r="D26" s="19" t="str">
        <f>VLOOKUP(LEFT(C26,5),Master_Data!$A$8:$C$12,2,0)</f>
        <v>Satu Angkasa Air</v>
      </c>
      <c r="E26" s="19" t="str">
        <f>VLOOKUP(LEFT(C26,5),Master_Data!$A$8:$C$12,3,0)</f>
        <v>LCC</v>
      </c>
      <c r="F26" s="19" t="str">
        <f t="shared" si="0"/>
        <v>Bisnis</v>
      </c>
      <c r="G26" s="19" t="str">
        <f>VLOOKUP(MID(C26,21,3),Master_Data!$A$16:$B$24,2,0)</f>
        <v>Medan</v>
      </c>
      <c r="H26" s="19" t="str">
        <f>VLOOKUP(MID(C26,25,3),Master_Data!$A$16:$B$24,2,0)</f>
        <v>Aceh</v>
      </c>
      <c r="I26" s="14">
        <f t="shared" si="1"/>
        <v>45823</v>
      </c>
      <c r="J26" s="15">
        <v>0.61944444444444446</v>
      </c>
      <c r="K26" s="20">
        <f>VLOOKUP(D26,Master_Data!$B$8:$E$12,4,0)</f>
        <v>1</v>
      </c>
      <c r="L26" s="16">
        <f t="shared" si="2"/>
        <v>45823.661111111105</v>
      </c>
      <c r="M26" s="13" t="str">
        <f t="shared" si="3"/>
        <v>A3</v>
      </c>
      <c r="N26" s="6" t="s">
        <v>74</v>
      </c>
      <c r="O26" s="10">
        <f>VLOOKUP(D26,Master_Data!$B$8:$H$12,IF(Airline_Booking!F26="Ekonomi",5,IF(Airline_Booking!F26="Bisnis",6,7)),0)</f>
        <v>900000</v>
      </c>
    </row>
    <row r="27" spans="1:15" x14ac:dyDescent="0.25">
      <c r="A27" s="6">
        <v>25</v>
      </c>
      <c r="B27" s="1" t="s">
        <v>37</v>
      </c>
      <c r="C27" s="4" t="s">
        <v>113</v>
      </c>
      <c r="D27" s="19" t="str">
        <f>VLOOKUP(LEFT(C27,5),Master_Data!$A$8:$C$12,2,0)</f>
        <v>Aero Citra Air</v>
      </c>
      <c r="E27" s="19" t="str">
        <f>VLOOKUP(LEFT(C27,5),Master_Data!$A$8:$C$12,3,0)</f>
        <v>Regional/Charter</v>
      </c>
      <c r="F27" s="19" t="str">
        <f t="shared" si="0"/>
        <v>Bisnis</v>
      </c>
      <c r="G27" s="19" t="str">
        <f>VLOOKUP(MID(C27,21,3),Master_Data!$A$16:$B$24,2,0)</f>
        <v>Kupang</v>
      </c>
      <c r="H27" s="19" t="str">
        <f>VLOOKUP(MID(C27,25,3),Master_Data!$A$16:$B$24,2,0)</f>
        <v>Maumere</v>
      </c>
      <c r="I27" s="14">
        <f t="shared" si="1"/>
        <v>45825</v>
      </c>
      <c r="J27" s="15">
        <v>0.96944444444444444</v>
      </c>
      <c r="K27" s="20">
        <f>VLOOKUP(D27,Master_Data!$B$8:$E$12,4,0)</f>
        <v>1.5</v>
      </c>
      <c r="L27" s="16">
        <f t="shared" si="2"/>
        <v>45826.031944444447</v>
      </c>
      <c r="M27" s="13" t="str">
        <f t="shared" si="3"/>
        <v>C1</v>
      </c>
      <c r="N27" s="6" t="s">
        <v>96</v>
      </c>
      <c r="O27" s="10">
        <f>VLOOKUP(D27,Master_Data!$B$8:$H$12,IF(Airline_Booking!F27="Ekonomi",5,IF(Airline_Booking!F27="Bisnis",6,7)),0)</f>
        <v>1300000</v>
      </c>
    </row>
    <row r="28" spans="1:15" x14ac:dyDescent="0.25">
      <c r="A28" s="6">
        <v>26</v>
      </c>
      <c r="B28" s="1" t="s">
        <v>38</v>
      </c>
      <c r="C28" s="4" t="s">
        <v>114</v>
      </c>
      <c r="D28" s="19" t="str">
        <f>VLOOKUP(LEFT(C28,5),Master_Data!$A$8:$C$12,2,0)</f>
        <v>Cakrawala Air</v>
      </c>
      <c r="E28" s="19" t="str">
        <f>VLOOKUP(LEFT(C28,5),Master_Data!$A$8:$C$12,3,0)</f>
        <v>LCC</v>
      </c>
      <c r="F28" s="19" t="str">
        <f t="shared" si="0"/>
        <v>Bisnis</v>
      </c>
      <c r="G28" s="19" t="str">
        <f>VLOOKUP(MID(C28,21,3),Master_Data!$A$16:$B$24,2,0)</f>
        <v>Yogyakarta</v>
      </c>
      <c r="H28" s="19" t="str">
        <f>VLOOKUP(MID(C28,25,3),Master_Data!$A$16:$B$24,2,0)</f>
        <v>Makassar</v>
      </c>
      <c r="I28" s="14">
        <f t="shared" si="1"/>
        <v>45826</v>
      </c>
      <c r="J28" s="15">
        <v>0.80486111111111114</v>
      </c>
      <c r="K28" s="20">
        <f>VLOOKUP(D28,Master_Data!$B$8:$E$12,4,0)</f>
        <v>2</v>
      </c>
      <c r="L28" s="16">
        <f t="shared" si="2"/>
        <v>45826.888194444444</v>
      </c>
      <c r="M28" s="13" t="str">
        <f t="shared" si="3"/>
        <v>B2</v>
      </c>
      <c r="N28" s="6" t="s">
        <v>79</v>
      </c>
      <c r="O28" s="10">
        <f>VLOOKUP(D28,Master_Data!$B$8:$H$12,IF(Airline_Booking!F28="Ekonomi",5,IF(Airline_Booking!F28="Bisnis",6,7)),0)</f>
        <v>2000000</v>
      </c>
    </row>
    <row r="29" spans="1:15" x14ac:dyDescent="0.25">
      <c r="A29" s="6">
        <v>27</v>
      </c>
      <c r="B29" s="1" t="s">
        <v>39</v>
      </c>
      <c r="C29" s="4" t="s">
        <v>115</v>
      </c>
      <c r="D29" s="19" t="str">
        <f>VLOOKUP(LEFT(C29,5),Master_Data!$A$8:$C$12,2,0)</f>
        <v>Sky Nusantara Air</v>
      </c>
      <c r="E29" s="19" t="str">
        <f>VLOOKUP(LEFT(C29,5),Master_Data!$A$8:$C$12,3,0)</f>
        <v>Full-Service</v>
      </c>
      <c r="F29" s="19" t="str">
        <f t="shared" si="0"/>
        <v>Ekonomi</v>
      </c>
      <c r="G29" s="19" t="str">
        <f>VLOOKUP(MID(C29,21,3),Master_Data!$A$16:$B$24,2,0)</f>
        <v>Jakarta</v>
      </c>
      <c r="H29" s="19" t="str">
        <f>VLOOKUP(MID(C29,25,3),Master_Data!$A$16:$B$24,2,0)</f>
        <v>Surabaya</v>
      </c>
      <c r="I29" s="14">
        <f t="shared" si="1"/>
        <v>45826</v>
      </c>
      <c r="J29" s="15">
        <v>0.83958333333333324</v>
      </c>
      <c r="K29" s="20">
        <f>VLOOKUP(D29,Master_Data!$B$8:$E$12,4,0)</f>
        <v>1.5</v>
      </c>
      <c r="L29" s="16">
        <f t="shared" si="2"/>
        <v>45826.902083333334</v>
      </c>
      <c r="M29" s="13" t="str">
        <f t="shared" si="3"/>
        <v>A5</v>
      </c>
      <c r="N29" s="6" t="s">
        <v>92</v>
      </c>
      <c r="O29" s="10">
        <f>VLOOKUP(D29,Master_Data!$B$8:$H$12,IF(Airline_Booking!F29="Ekonomi",5,IF(Airline_Booking!F29="Bisnis",6,7)),0)</f>
        <v>1200000</v>
      </c>
    </row>
    <row r="30" spans="1:15" x14ac:dyDescent="0.25">
      <c r="A30" s="6">
        <v>28</v>
      </c>
      <c r="B30" s="1" t="s">
        <v>40</v>
      </c>
      <c r="C30" s="4" t="s">
        <v>116</v>
      </c>
      <c r="D30" s="19" t="str">
        <f>VLOOKUP(LEFT(C30,5),Master_Data!$A$8:$C$12,2,0)</f>
        <v>Satu Angkasa Air</v>
      </c>
      <c r="E30" s="19" t="str">
        <f>VLOOKUP(LEFT(C30,5),Master_Data!$A$8:$C$12,3,0)</f>
        <v>LCC</v>
      </c>
      <c r="F30" s="19" t="str">
        <f t="shared" si="0"/>
        <v>Ekonomi</v>
      </c>
      <c r="G30" s="19" t="str">
        <f>VLOOKUP(MID(C30,21,3),Master_Data!$A$16:$B$24,2,0)</f>
        <v>Medan</v>
      </c>
      <c r="H30" s="19" t="str">
        <f>VLOOKUP(MID(C30,25,3),Master_Data!$A$16:$B$24,2,0)</f>
        <v>Aceh</v>
      </c>
      <c r="I30" s="14">
        <f t="shared" si="1"/>
        <v>45827</v>
      </c>
      <c r="J30" s="15">
        <v>9.5138888888888884E-2</v>
      </c>
      <c r="K30" s="20">
        <f>VLOOKUP(D30,Master_Data!$B$8:$E$12,4,0)</f>
        <v>1</v>
      </c>
      <c r="L30" s="16">
        <f t="shared" si="2"/>
        <v>45827.13680555555</v>
      </c>
      <c r="M30" s="13" t="str">
        <f t="shared" si="3"/>
        <v>A3</v>
      </c>
      <c r="N30" s="6" t="s">
        <v>77</v>
      </c>
      <c r="O30" s="10">
        <f>VLOOKUP(D30,Master_Data!$B$8:$H$12,IF(Airline_Booking!F30="Ekonomi",5,IF(Airline_Booking!F30="Bisnis",6,7)),0)</f>
        <v>550000</v>
      </c>
    </row>
    <row r="31" spans="1:15" x14ac:dyDescent="0.25">
      <c r="A31" s="6">
        <v>29</v>
      </c>
      <c r="B31" s="1" t="s">
        <v>41</v>
      </c>
      <c r="C31" s="4" t="s">
        <v>117</v>
      </c>
      <c r="D31" s="19" t="str">
        <f>VLOOKUP(LEFT(C31,5),Master_Data!$A$8:$C$12,2,0)</f>
        <v>Cakrawala Air</v>
      </c>
      <c r="E31" s="19" t="str">
        <f>VLOOKUP(LEFT(C31,5),Master_Data!$A$8:$C$12,3,0)</f>
        <v>LCC</v>
      </c>
      <c r="F31" s="19" t="str">
        <f t="shared" si="0"/>
        <v>Bisnis</v>
      </c>
      <c r="G31" s="19" t="str">
        <f>VLOOKUP(MID(C31,21,3),Master_Data!$A$16:$B$24,2,0)</f>
        <v>Yogyakarta</v>
      </c>
      <c r="H31" s="19" t="str">
        <f>VLOOKUP(MID(C31,25,3),Master_Data!$A$16:$B$24,2,0)</f>
        <v>Makassar</v>
      </c>
      <c r="I31" s="14">
        <f t="shared" si="1"/>
        <v>45828</v>
      </c>
      <c r="J31" s="15">
        <v>1.3194444444444444E-2</v>
      </c>
      <c r="K31" s="20">
        <f>VLOOKUP(D31,Master_Data!$B$8:$E$12,4,0)</f>
        <v>2</v>
      </c>
      <c r="L31" s="16">
        <f t="shared" si="2"/>
        <v>45828.09652777778</v>
      </c>
      <c r="M31" s="13" t="str">
        <f t="shared" si="3"/>
        <v>B2</v>
      </c>
      <c r="N31" s="6" t="s">
        <v>97</v>
      </c>
      <c r="O31" s="10">
        <f>VLOOKUP(D31,Master_Data!$B$8:$H$12,IF(Airline_Booking!F31="Ekonomi",5,IF(Airline_Booking!F31="Bisnis",6,7)),0)</f>
        <v>2000000</v>
      </c>
    </row>
    <row r="32" spans="1:15" x14ac:dyDescent="0.25">
      <c r="A32" s="6">
        <v>30</v>
      </c>
      <c r="B32" s="1" t="s">
        <v>42</v>
      </c>
      <c r="C32" s="4" t="s">
        <v>118</v>
      </c>
      <c r="D32" s="19" t="str">
        <f>VLOOKUP(LEFT(C32,5),Master_Data!$A$8:$C$12,2,0)</f>
        <v>Cakrawala Air</v>
      </c>
      <c r="E32" s="19" t="str">
        <f>VLOOKUP(LEFT(C32,5),Master_Data!$A$8:$C$12,3,0)</f>
        <v>LCC</v>
      </c>
      <c r="F32" s="19" t="str">
        <f t="shared" si="0"/>
        <v>Bisnis</v>
      </c>
      <c r="G32" s="19" t="str">
        <f>VLOOKUP(MID(C32,21,3),Master_Data!$A$16:$B$24,2,0)</f>
        <v>Yogyakarta</v>
      </c>
      <c r="H32" s="19" t="str">
        <f>VLOOKUP(MID(C32,25,3),Master_Data!$A$16:$B$24,2,0)</f>
        <v>Makassar</v>
      </c>
      <c r="I32" s="14">
        <f t="shared" si="1"/>
        <v>45829</v>
      </c>
      <c r="J32" s="15">
        <v>0.23819444444444446</v>
      </c>
      <c r="K32" s="20">
        <f>VLOOKUP(D32,Master_Data!$B$8:$E$12,4,0)</f>
        <v>2</v>
      </c>
      <c r="L32" s="16">
        <f t="shared" si="2"/>
        <v>45829.321527777778</v>
      </c>
      <c r="M32" s="13" t="str">
        <f t="shared" si="3"/>
        <v>B2</v>
      </c>
      <c r="N32" s="6" t="s">
        <v>98</v>
      </c>
      <c r="O32" s="10">
        <f>VLOOKUP(D32,Master_Data!$B$8:$H$12,IF(Airline_Booking!F32="Ekonomi",5,IF(Airline_Booking!F32="Bisnis",6,7)),0)</f>
        <v>2000000</v>
      </c>
    </row>
    <row r="33" spans="1:15" x14ac:dyDescent="0.25">
      <c r="A33" s="6">
        <v>31</v>
      </c>
      <c r="B33" s="1" t="s">
        <v>43</v>
      </c>
      <c r="C33" s="4" t="s">
        <v>119</v>
      </c>
      <c r="D33" s="19" t="str">
        <f>VLOOKUP(LEFT(C33,5),Master_Data!$A$8:$C$12,2,0)</f>
        <v>Satu Angkasa Air</v>
      </c>
      <c r="E33" s="19" t="str">
        <f>VLOOKUP(LEFT(C33,5),Master_Data!$A$8:$C$12,3,0)</f>
        <v>LCC</v>
      </c>
      <c r="F33" s="19" t="str">
        <f t="shared" si="0"/>
        <v>Premium Ekonomi</v>
      </c>
      <c r="G33" s="19" t="str">
        <f>VLOOKUP(MID(C33,21,3),Master_Data!$A$16:$B$24,2,0)</f>
        <v>Medan</v>
      </c>
      <c r="H33" s="19" t="str">
        <f>VLOOKUP(MID(C33,25,3),Master_Data!$A$16:$B$24,2,0)</f>
        <v>Aceh</v>
      </c>
      <c r="I33" s="14">
        <f t="shared" si="1"/>
        <v>45832</v>
      </c>
      <c r="J33" s="15">
        <v>0.74583333333333324</v>
      </c>
      <c r="K33" s="20">
        <f>VLOOKUP(D33,Master_Data!$B$8:$E$12,4,0)</f>
        <v>1</v>
      </c>
      <c r="L33" s="16">
        <f t="shared" si="2"/>
        <v>45832.787499999999</v>
      </c>
      <c r="M33" s="13" t="str">
        <f t="shared" si="3"/>
        <v>A3</v>
      </c>
      <c r="N33" s="6" t="s">
        <v>84</v>
      </c>
      <c r="O33" s="10">
        <f>VLOOKUP(D33,Master_Data!$B$8:$H$12,IF(Airline_Booking!F33="Ekonomi",5,IF(Airline_Booking!F33="Bisnis",6,7)),0)</f>
        <v>700000</v>
      </c>
    </row>
    <row r="34" spans="1:15" x14ac:dyDescent="0.25">
      <c r="A34" s="6">
        <v>32</v>
      </c>
      <c r="B34" s="1" t="s">
        <v>44</v>
      </c>
      <c r="C34" s="4" t="s">
        <v>120</v>
      </c>
      <c r="D34" s="19" t="str">
        <f>VLOOKUP(LEFT(C34,5),Master_Data!$A$8:$C$12,2,0)</f>
        <v>Aero Citra Air</v>
      </c>
      <c r="E34" s="19" t="str">
        <f>VLOOKUP(LEFT(C34,5),Master_Data!$A$8:$C$12,3,0)</f>
        <v>Regional/Charter</v>
      </c>
      <c r="F34" s="19" t="str">
        <f t="shared" si="0"/>
        <v>Premium Ekonomi</v>
      </c>
      <c r="G34" s="19" t="str">
        <f>VLOOKUP(MID(C34,21,3),Master_Data!$A$16:$B$24,2,0)</f>
        <v>Kupang</v>
      </c>
      <c r="H34" s="19" t="str">
        <f>VLOOKUP(MID(C34,25,3),Master_Data!$A$16:$B$24,2,0)</f>
        <v>Maumere</v>
      </c>
      <c r="I34" s="14">
        <f t="shared" si="1"/>
        <v>45833</v>
      </c>
      <c r="J34" s="15">
        <v>0.62777777777777777</v>
      </c>
      <c r="K34" s="20">
        <f>VLOOKUP(D34,Master_Data!$B$8:$E$12,4,0)</f>
        <v>1.5</v>
      </c>
      <c r="L34" s="16">
        <f t="shared" si="2"/>
        <v>45833.69027777778</v>
      </c>
      <c r="M34" s="13" t="str">
        <f t="shared" si="3"/>
        <v>C1</v>
      </c>
      <c r="N34" s="6" t="s">
        <v>99</v>
      </c>
      <c r="O34" s="10">
        <f>VLOOKUP(D34,Master_Data!$B$8:$H$12,IF(Airline_Booking!F34="Ekonomi",5,IF(Airline_Booking!F34="Bisnis",6,7)),0)</f>
        <v>950000</v>
      </c>
    </row>
    <row r="35" spans="1:15" x14ac:dyDescent="0.25">
      <c r="A35" s="6">
        <v>33</v>
      </c>
      <c r="B35" s="1" t="s">
        <v>45</v>
      </c>
      <c r="C35" s="4" t="s">
        <v>122</v>
      </c>
      <c r="D35" s="19" t="str">
        <f>VLOOKUP(LEFT(C35,5),Master_Data!$A$8:$C$12,2,0)</f>
        <v>Aero Citra Air</v>
      </c>
      <c r="E35" s="19" t="str">
        <f>VLOOKUP(LEFT(C35,5),Master_Data!$A$8:$C$12,3,0)</f>
        <v>Regional/Charter</v>
      </c>
      <c r="F35" s="19" t="str">
        <f t="shared" si="0"/>
        <v>Premium Ekonomi</v>
      </c>
      <c r="G35" s="19" t="str">
        <f>VLOOKUP(MID(C35,21,3),Master_Data!$A$16:$B$24,2,0)</f>
        <v>Kupang</v>
      </c>
      <c r="H35" s="19" t="str">
        <f>VLOOKUP(MID(C35,25,3),Master_Data!$A$16:$B$24,2,0)</f>
        <v>Maumere</v>
      </c>
      <c r="I35" s="14">
        <f t="shared" si="1"/>
        <v>45834</v>
      </c>
      <c r="J35" s="15">
        <v>0.28958333333333336</v>
      </c>
      <c r="K35" s="20">
        <f>VLOOKUP(D35,Master_Data!$B$8:$E$12,4,0)</f>
        <v>1.5</v>
      </c>
      <c r="L35" s="16">
        <f t="shared" si="2"/>
        <v>45834.352083333331</v>
      </c>
      <c r="M35" s="13" t="str">
        <f t="shared" si="3"/>
        <v>C1</v>
      </c>
      <c r="N35" s="6" t="s">
        <v>100</v>
      </c>
      <c r="O35" s="10">
        <f>VLOOKUP(D35,Master_Data!$B$8:$H$12,IF(Airline_Booking!F35="Ekonomi",5,IF(Airline_Booking!F35="Bisnis",6,7)),0)</f>
        <v>950000</v>
      </c>
    </row>
    <row r="36" spans="1:15" x14ac:dyDescent="0.25">
      <c r="A36" s="6">
        <v>34</v>
      </c>
      <c r="B36" s="1" t="s">
        <v>46</v>
      </c>
      <c r="C36" s="4" t="s">
        <v>121</v>
      </c>
      <c r="D36" s="19" t="str">
        <f>VLOOKUP(LEFT(C36,5),Master_Data!$A$8:$C$12,2,0)</f>
        <v>Satu Angkasa Air</v>
      </c>
      <c r="E36" s="19" t="str">
        <f>VLOOKUP(LEFT(C36,5),Master_Data!$A$8:$C$12,3,0)</f>
        <v>LCC</v>
      </c>
      <c r="F36" s="19" t="str">
        <f t="shared" si="0"/>
        <v>Ekonomi</v>
      </c>
      <c r="G36" s="19" t="str">
        <f>VLOOKUP(MID(C36,21,3),Master_Data!$A$16:$B$24,2,0)</f>
        <v>Medan</v>
      </c>
      <c r="H36" s="19" t="str">
        <f>VLOOKUP(MID(C36,25,3),Master_Data!$A$16:$B$24,2,0)</f>
        <v>Aceh</v>
      </c>
      <c r="I36" s="14">
        <f t="shared" si="1"/>
        <v>45834</v>
      </c>
      <c r="J36" s="15">
        <v>0.45347222222222222</v>
      </c>
      <c r="K36" s="20">
        <f>VLOOKUP(D36,Master_Data!$B$8:$E$12,4,0)</f>
        <v>1</v>
      </c>
      <c r="L36" s="16">
        <f t="shared" si="2"/>
        <v>45834.495138888888</v>
      </c>
      <c r="M36" s="13" t="str">
        <f t="shared" si="3"/>
        <v>A3</v>
      </c>
      <c r="N36" s="6" t="s">
        <v>101</v>
      </c>
      <c r="O36" s="10">
        <f>VLOOKUP(D36,Master_Data!$B$8:$H$12,IF(Airline_Booking!F36="Ekonomi",5,IF(Airline_Booking!F36="Bisnis",6,7)),0)</f>
        <v>550000</v>
      </c>
    </row>
    <row r="37" spans="1:15" x14ac:dyDescent="0.25">
      <c r="A37" s="6">
        <v>35</v>
      </c>
      <c r="B37" s="1" t="s">
        <v>47</v>
      </c>
      <c r="C37" s="4" t="s">
        <v>123</v>
      </c>
      <c r="D37" s="19" t="str">
        <f>VLOOKUP(LEFT(C37,5),Master_Data!$A$8:$C$12,2,0)</f>
        <v>Mega Nusantara Air</v>
      </c>
      <c r="E37" s="19" t="str">
        <f>VLOOKUP(LEFT(C37,5),Master_Data!$A$8:$C$12,3,0)</f>
        <v>Full-Service</v>
      </c>
      <c r="F37" s="19" t="str">
        <f t="shared" si="0"/>
        <v>Bisnis</v>
      </c>
      <c r="G37" s="19" t="str">
        <f>VLOOKUP(MID(C37,21,3),Master_Data!$A$16:$B$24,2,0)</f>
        <v>Jakarta</v>
      </c>
      <c r="H37" s="19" t="str">
        <f>VLOOKUP(MID(C37,25,3),Master_Data!$A$16:$B$24,2,0)</f>
        <v>Bali</v>
      </c>
      <c r="I37" s="14">
        <f t="shared" si="1"/>
        <v>45834</v>
      </c>
      <c r="J37" s="15">
        <v>0.9291666666666667</v>
      </c>
      <c r="K37" s="20">
        <f>VLOOKUP(D37,Master_Data!$B$8:$E$12,4,0)</f>
        <v>1.5</v>
      </c>
      <c r="L37" s="16">
        <f t="shared" si="2"/>
        <v>45834.991666666669</v>
      </c>
      <c r="M37" s="13" t="str">
        <f t="shared" si="3"/>
        <v>B5</v>
      </c>
      <c r="N37" s="6" t="s">
        <v>102</v>
      </c>
      <c r="O37" s="10">
        <f>VLOOKUP(D37,Master_Data!$B$8:$H$12,IF(Airline_Booking!F37="Ekonomi",5,IF(Airline_Booking!F37="Bisnis",6,7)),0)</f>
        <v>2700000</v>
      </c>
    </row>
    <row r="38" spans="1:15" x14ac:dyDescent="0.25">
      <c r="A38" s="6">
        <v>36</v>
      </c>
      <c r="B38" s="1" t="s">
        <v>48</v>
      </c>
      <c r="C38" s="4" t="s">
        <v>122</v>
      </c>
      <c r="D38" s="19" t="str">
        <f>VLOOKUP(LEFT(C38,5),Master_Data!$A$8:$C$12,2,0)</f>
        <v>Aero Citra Air</v>
      </c>
      <c r="E38" s="19" t="str">
        <f>VLOOKUP(LEFT(C38,5),Master_Data!$A$8:$C$12,3,0)</f>
        <v>Regional/Charter</v>
      </c>
      <c r="F38" s="19" t="str">
        <f t="shared" si="0"/>
        <v>Premium Ekonomi</v>
      </c>
      <c r="G38" s="19" t="str">
        <f>VLOOKUP(MID(C38,21,3),Master_Data!$A$16:$B$24,2,0)</f>
        <v>Kupang</v>
      </c>
      <c r="H38" s="19" t="str">
        <f>VLOOKUP(MID(C38,25,3),Master_Data!$A$16:$B$24,2,0)</f>
        <v>Maumere</v>
      </c>
      <c r="I38" s="14">
        <f t="shared" si="1"/>
        <v>45834</v>
      </c>
      <c r="J38" s="15">
        <v>0.49444444444444446</v>
      </c>
      <c r="K38" s="20">
        <f>VLOOKUP(D38,Master_Data!$B$8:$E$12,4,0)</f>
        <v>1.5</v>
      </c>
      <c r="L38" s="16">
        <f t="shared" si="2"/>
        <v>45834.556944444441</v>
      </c>
      <c r="M38" s="13" t="str">
        <f t="shared" si="3"/>
        <v>C1</v>
      </c>
      <c r="N38" s="6" t="s">
        <v>103</v>
      </c>
      <c r="O38" s="10">
        <f>VLOOKUP(D38,Master_Data!$B$8:$H$12,IF(Airline_Booking!F38="Ekonomi",5,IF(Airline_Booking!F38="Bisnis",6,7)),0)</f>
        <v>950000</v>
      </c>
    </row>
    <row r="39" spans="1:15" x14ac:dyDescent="0.25">
      <c r="A39" s="6">
        <v>37</v>
      </c>
      <c r="B39" s="1" t="s">
        <v>49</v>
      </c>
      <c r="C39" s="4" t="s">
        <v>125</v>
      </c>
      <c r="D39" s="19" t="str">
        <f>VLOOKUP(LEFT(C39,5),Master_Data!$A$8:$C$12,2,0)</f>
        <v>Satu Angkasa Air</v>
      </c>
      <c r="E39" s="19" t="str">
        <f>VLOOKUP(LEFT(C39,5),Master_Data!$A$8:$C$12,3,0)</f>
        <v>LCC</v>
      </c>
      <c r="F39" s="19" t="str">
        <f t="shared" si="0"/>
        <v>Premium Ekonomi</v>
      </c>
      <c r="G39" s="19" t="str">
        <f>VLOOKUP(MID(C39,21,3),Master_Data!$A$16:$B$24,2,0)</f>
        <v>Medan</v>
      </c>
      <c r="H39" s="19" t="str">
        <f>VLOOKUP(MID(C39,25,3),Master_Data!$A$16:$B$24,2,0)</f>
        <v>Aceh</v>
      </c>
      <c r="I39" s="14">
        <f t="shared" si="1"/>
        <v>45835</v>
      </c>
      <c r="J39" s="15">
        <v>0.51111111111111118</v>
      </c>
      <c r="K39" s="20">
        <f>VLOOKUP(D39,Master_Data!$B$8:$E$12,4,0)</f>
        <v>1</v>
      </c>
      <c r="L39" s="16">
        <f t="shared" si="2"/>
        <v>45835.552777777775</v>
      </c>
      <c r="M39" s="13" t="str">
        <f t="shared" si="3"/>
        <v>C3</v>
      </c>
      <c r="N39" s="6" t="s">
        <v>75</v>
      </c>
      <c r="O39" s="10">
        <f>VLOOKUP(D39,Master_Data!$B$8:$H$12,IF(Airline_Booking!F39="Ekonomi",5,IF(Airline_Booking!F39="Bisnis",6,7)),0)</f>
        <v>700000</v>
      </c>
    </row>
    <row r="40" spans="1:15" x14ac:dyDescent="0.25">
      <c r="A40" s="6">
        <v>38</v>
      </c>
      <c r="B40" s="1" t="s">
        <v>50</v>
      </c>
      <c r="C40" s="4" t="s">
        <v>124</v>
      </c>
      <c r="D40" s="19" t="str">
        <f>VLOOKUP(LEFT(C40,5),Master_Data!$A$8:$C$12,2,0)</f>
        <v>Mega Nusantara Air</v>
      </c>
      <c r="E40" s="19" t="str">
        <f>VLOOKUP(LEFT(C40,5),Master_Data!$A$8:$C$12,3,0)</f>
        <v>Full-Service</v>
      </c>
      <c r="F40" s="19" t="str">
        <f t="shared" si="0"/>
        <v>Ekonomi</v>
      </c>
      <c r="G40" s="19" t="str">
        <f>VLOOKUP(MID(C40,21,3),Master_Data!$A$16:$B$24,2,0)</f>
        <v>Jakarta</v>
      </c>
      <c r="H40" s="19" t="str">
        <f>VLOOKUP(MID(C40,25,3),Master_Data!$A$16:$B$24,2,0)</f>
        <v>Bali</v>
      </c>
      <c r="I40" s="14">
        <f t="shared" si="1"/>
        <v>45837</v>
      </c>
      <c r="J40" s="15">
        <v>0.25138888888888888</v>
      </c>
      <c r="K40" s="20">
        <f>VLOOKUP(D40,Master_Data!$B$8:$E$12,4,0)</f>
        <v>1.5</v>
      </c>
      <c r="L40" s="16">
        <f t="shared" si="2"/>
        <v>45837.313888888886</v>
      </c>
      <c r="M40" s="13" t="str">
        <f t="shared" si="3"/>
        <v>B5</v>
      </c>
      <c r="N40" s="6" t="s">
        <v>104</v>
      </c>
      <c r="O40" s="10">
        <f>VLOOKUP(D40,Master_Data!$B$8:$H$12,IF(Airline_Booking!F40="Ekonomi",5,IF(Airline_Booking!F40="Bisnis",6,7)),0)</f>
        <v>1500000</v>
      </c>
    </row>
    <row r="41" spans="1:15" x14ac:dyDescent="0.25">
      <c r="A41" s="6">
        <v>39</v>
      </c>
      <c r="B41" s="1" t="s">
        <v>51</v>
      </c>
      <c r="C41" s="4" t="s">
        <v>126</v>
      </c>
      <c r="D41" s="19" t="str">
        <f>VLOOKUP(LEFT(C41,5),Master_Data!$A$8:$C$12,2,0)</f>
        <v>Aero Citra Air</v>
      </c>
      <c r="E41" s="19" t="str">
        <f>VLOOKUP(LEFT(C41,5),Master_Data!$A$8:$C$12,3,0)</f>
        <v>Regional/Charter</v>
      </c>
      <c r="F41" s="19" t="str">
        <f t="shared" si="0"/>
        <v>Bisnis</v>
      </c>
      <c r="G41" s="19" t="str">
        <f>VLOOKUP(MID(C41,21,3),Master_Data!$A$16:$B$24,2,0)</f>
        <v>Kupang</v>
      </c>
      <c r="H41" s="19" t="str">
        <f>VLOOKUP(MID(C41,25,3),Master_Data!$A$16:$B$24,2,0)</f>
        <v>Maumere</v>
      </c>
      <c r="I41" s="14">
        <f t="shared" si="1"/>
        <v>45837</v>
      </c>
      <c r="J41" s="15">
        <v>0.19652777777777777</v>
      </c>
      <c r="K41" s="20">
        <f>VLOOKUP(D41,Master_Data!$B$8:$E$12,4,0)</f>
        <v>1.5</v>
      </c>
      <c r="L41" s="16">
        <f t="shared" si="2"/>
        <v>45837.259027777778</v>
      </c>
      <c r="M41" s="13" t="str">
        <f t="shared" si="3"/>
        <v>C1</v>
      </c>
      <c r="N41" s="6" t="s">
        <v>105</v>
      </c>
      <c r="O41" s="10">
        <f>VLOOKUP(D41,Master_Data!$B$8:$H$12,IF(Airline_Booking!F41="Ekonomi",5,IF(Airline_Booking!F41="Bisnis",6,7)),0)</f>
        <v>1300000</v>
      </c>
    </row>
    <row r="42" spans="1:15" x14ac:dyDescent="0.25">
      <c r="A42" s="6">
        <v>40</v>
      </c>
      <c r="B42" s="1" t="s">
        <v>52</v>
      </c>
      <c r="C42" s="4" t="s">
        <v>127</v>
      </c>
      <c r="D42" s="19" t="str">
        <f>VLOOKUP(LEFT(C42,5),Master_Data!$A$8:$C$12,2,0)</f>
        <v>Satu Angkasa Air</v>
      </c>
      <c r="E42" s="19" t="str">
        <f>VLOOKUP(LEFT(C42,5),Master_Data!$A$8:$C$12,3,0)</f>
        <v>LCC</v>
      </c>
      <c r="F42" s="19" t="str">
        <f t="shared" si="0"/>
        <v>Ekonomi</v>
      </c>
      <c r="G42" s="19" t="str">
        <f>VLOOKUP(MID(C42,21,3),Master_Data!$A$16:$B$24,2,0)</f>
        <v>Medan</v>
      </c>
      <c r="H42" s="19" t="str">
        <f>VLOOKUP(MID(C42,25,3),Master_Data!$A$16:$B$24,2,0)</f>
        <v>Aceh</v>
      </c>
      <c r="I42" s="14">
        <f t="shared" si="1"/>
        <v>45838</v>
      </c>
      <c r="J42" s="15">
        <v>0.25833333333333336</v>
      </c>
      <c r="K42" s="20">
        <f>VLOOKUP(D42,Master_Data!$B$8:$E$12,4,0)</f>
        <v>1</v>
      </c>
      <c r="L42" s="16">
        <f t="shared" si="2"/>
        <v>45838.299999999996</v>
      </c>
      <c r="M42" s="13" t="str">
        <f t="shared" si="3"/>
        <v>A3</v>
      </c>
      <c r="N42" s="6" t="s">
        <v>106</v>
      </c>
      <c r="O42" s="10">
        <f>VLOOKUP(D42,Master_Data!$B$8:$H$12,IF(Airline_Booking!F42="Ekonomi",5,IF(Airline_Booking!F42="Bisnis",6,7)),0)</f>
        <v>550000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5:G27"/>
  <sheetViews>
    <sheetView showGridLines="0" zoomScale="70" zoomScaleNormal="70" workbookViewId="0">
      <selection activeCell="Q43" sqref="Q43"/>
    </sheetView>
  </sheetViews>
  <sheetFormatPr defaultRowHeight="15" x14ac:dyDescent="0.25"/>
  <cols>
    <col min="1" max="1" width="25.28515625" customWidth="1"/>
    <col min="2" max="2" width="18.140625" bestFit="1" customWidth="1"/>
    <col min="3" max="3" width="35" bestFit="1" customWidth="1"/>
    <col min="4" max="5" width="28.5703125" bestFit="1" customWidth="1"/>
    <col min="6" max="6" width="20" bestFit="1" customWidth="1"/>
    <col min="7" max="7" width="26" bestFit="1" customWidth="1"/>
  </cols>
  <sheetData>
    <row r="5" spans="1:7" x14ac:dyDescent="0.25">
      <c r="A5" s="18" t="s">
        <v>2</v>
      </c>
      <c r="B5" s="18" t="s">
        <v>10</v>
      </c>
      <c r="C5" t="s">
        <v>155</v>
      </c>
      <c r="F5" s="18" t="s">
        <v>2</v>
      </c>
      <c r="G5" t="s">
        <v>174</v>
      </c>
    </row>
    <row r="6" spans="1:7" x14ac:dyDescent="0.25">
      <c r="A6" t="s">
        <v>55</v>
      </c>
      <c r="B6" t="s">
        <v>60</v>
      </c>
      <c r="C6" s="5">
        <v>2</v>
      </c>
      <c r="F6" t="s">
        <v>55</v>
      </c>
      <c r="G6" s="30">
        <v>9050000</v>
      </c>
    </row>
    <row r="7" spans="1:7" x14ac:dyDescent="0.25">
      <c r="B7" t="s">
        <v>59</v>
      </c>
      <c r="C7" s="5">
        <v>1</v>
      </c>
      <c r="F7" t="s">
        <v>54</v>
      </c>
      <c r="G7" s="30">
        <v>12000000</v>
      </c>
    </row>
    <row r="8" spans="1:7" x14ac:dyDescent="0.25">
      <c r="B8" t="s">
        <v>107</v>
      </c>
      <c r="C8" s="5">
        <v>6</v>
      </c>
      <c r="F8" t="s">
        <v>56</v>
      </c>
      <c r="G8" s="30">
        <v>13300000</v>
      </c>
    </row>
    <row r="9" spans="1:7" x14ac:dyDescent="0.25">
      <c r="A9" t="s">
        <v>54</v>
      </c>
      <c r="B9" t="s">
        <v>60</v>
      </c>
      <c r="C9" s="5">
        <v>6</v>
      </c>
      <c r="F9" t="s">
        <v>57</v>
      </c>
      <c r="G9" s="30">
        <v>7350000</v>
      </c>
    </row>
    <row r="10" spans="1:7" x14ac:dyDescent="0.25">
      <c r="A10" t="s">
        <v>56</v>
      </c>
      <c r="B10" t="s">
        <v>60</v>
      </c>
      <c r="C10" s="5">
        <v>2</v>
      </c>
      <c r="F10" t="s">
        <v>58</v>
      </c>
      <c r="G10" s="30">
        <v>8400000</v>
      </c>
    </row>
    <row r="11" spans="1:7" x14ac:dyDescent="0.25">
      <c r="B11" t="s">
        <v>59</v>
      </c>
      <c r="C11" s="5">
        <v>4</v>
      </c>
      <c r="F11" t="s">
        <v>154</v>
      </c>
      <c r="G11" s="30">
        <v>50100000</v>
      </c>
    </row>
    <row r="12" spans="1:7" x14ac:dyDescent="0.25">
      <c r="B12" t="s">
        <v>107</v>
      </c>
      <c r="C12" s="5">
        <v>1</v>
      </c>
    </row>
    <row r="13" spans="1:7" x14ac:dyDescent="0.25">
      <c r="A13" t="s">
        <v>57</v>
      </c>
      <c r="B13" t="s">
        <v>60</v>
      </c>
      <c r="C13" s="5">
        <v>2</v>
      </c>
    </row>
    <row r="14" spans="1:7" x14ac:dyDescent="0.25">
      <c r="B14" t="s">
        <v>59</v>
      </c>
      <c r="C14" s="5">
        <v>5</v>
      </c>
    </row>
    <row r="15" spans="1:7" x14ac:dyDescent="0.25">
      <c r="B15" t="s">
        <v>107</v>
      </c>
      <c r="C15" s="5">
        <v>4</v>
      </c>
    </row>
    <row r="16" spans="1:7" x14ac:dyDescent="0.25">
      <c r="A16" t="s">
        <v>58</v>
      </c>
      <c r="B16" t="s">
        <v>59</v>
      </c>
      <c r="C16" s="5">
        <v>7</v>
      </c>
    </row>
    <row r="17" spans="1:5" x14ac:dyDescent="0.25">
      <c r="A17" t="s">
        <v>154</v>
      </c>
      <c r="C17" s="5">
        <v>40</v>
      </c>
    </row>
    <row r="27" spans="1:5" x14ac:dyDescent="0.25">
      <c r="D27" s="18"/>
      <c r="E27" s="18"/>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Master_Data</vt:lpstr>
      <vt:lpstr>Airline_Booking</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Aulia khairunnisa</cp:lastModifiedBy>
  <dcterms:created xsi:type="dcterms:W3CDTF">2025-05-29T03:36:43Z</dcterms:created>
  <dcterms:modified xsi:type="dcterms:W3CDTF">2026-09-11T03:59:50Z</dcterms:modified>
</cp:coreProperties>
</file>